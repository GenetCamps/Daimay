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triz" sheetId="1" state="visible" r:id="rId3"/>
    <sheet name="Evaluación" sheetId="2" state="visible" r:id="rId4"/>
    <sheet name="Resumen" sheetId="3" state="visible" r:id="rId5"/>
    <sheet name="Auditoría formatos" sheetId="4" state="visible" r:id="rId6"/>
    <sheet name="Salón del Ahorro" sheetId="5" state="visible" r:id="rId7"/>
    <sheet name="Ranking" sheetId="6" state="visible" r:id="rId8"/>
    <sheet name="Cambio de líder" sheetId="7" state="visible" r:id="rId9"/>
    <sheet name="Nuevos (provisional)" sheetId="8" state="visible" r:id="rId10"/>
    <sheet name="Revisar" sheetId="9" state="visible" r:id="rId11"/>
  </sheets>
  <definedNames>
    <definedName function="false" hidden="true" localSheetId="3" name="_xlnm._FilterDatabase" vbProcedure="false">'Auditoría formatos'!$A$18:$K$109</definedName>
    <definedName function="false" hidden="true" localSheetId="1" name="_xlnm._FilterDatabase" vbProcedure="false">Evaluación!$A$4:$Q$103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<sst xmlns="http://schemas.openxmlformats.org/spreadsheetml/2006/main" count="3431" uniqueCount="1151">
  <si>
    <t xml:space="preserve">DAIPUNTOS — Reglas de evaluación</t>
  </si>
  <si>
    <t xml:space="preserve">Las celdas en azul son las únicas editables. Todo lo demás son fórmulas.</t>
  </si>
  <si>
    <t xml:space="preserve">1. PUNTOS BASE = IMPACTO × ALCANCE</t>
  </si>
  <si>
    <t xml:space="preserve">Impacto \ Alcance</t>
  </si>
  <si>
    <t xml:space="preserve">1 Estación</t>
  </si>
  <si>
    <t xml:space="preserve">2 Línea / Área</t>
  </si>
  <si>
    <t xml:space="preserve">3 Multi-línea / planta</t>
  </si>
  <si>
    <t xml:space="preserve">1 Orden / Visual</t>
  </si>
  <si>
    <t xml:space="preserve">2 Tiempo / Retrabajo</t>
  </si>
  <si>
    <t xml:space="preserve">3 Calidad / Seguridad</t>
  </si>
  <si>
    <t xml:space="preserve">2. AHORRO — NO da puntos en DaiPuntos</t>
  </si>
  <si>
    <t xml:space="preserve">Ahorro anual MXN (desde)</t>
  </si>
  <si>
    <t xml:space="preserve">Puntos</t>
  </si>
  <si>
    <t xml:space="preserve">Los Kaizen con ahorro validado se reconocen en el SALÓN DEL AHORRO (hoja aparte), no con puntos.</t>
  </si>
  <si>
    <t xml:space="preserve">3. BONOS</t>
  </si>
  <si>
    <t xml:space="preserve">Impacto en seguridad (automático si el indicador incluye 'Seguridad')</t>
  </si>
  <si>
    <t xml:space="preserve">Idea de operador  — requiere campo nuevo en el Forms</t>
  </si>
  <si>
    <t xml:space="preserve">Ya replicada en otra área — requiere campo nuevo en el Forms</t>
  </si>
  <si>
    <t xml:space="preserve">Usó herramienta de mejora — requiere campo nuevo en el Forms</t>
  </si>
  <si>
    <t xml:space="preserve">Tope de bonos</t>
  </si>
  <si>
    <t xml:space="preserve">4. SUPUESTOS</t>
  </si>
  <si>
    <t xml:space="preserve">Tipo de cambio (MXN por USD) — solo para convertir a mano un Kaizen capturado en USD</t>
  </si>
  <si>
    <t xml:space="preserve">La columna 'Ahorro MXN/año' de la hoja Evaluación se captura YA EN PESOS. Si el formato del Kaizen viene en USD, multiplícalo por este tipo de cambio antes de capturarlo.</t>
  </si>
  <si>
    <t xml:space="preserve">Meta: 420 Kaizen/año (35/mes) — ritmo real jun-ago fue 29/mes</t>
  </si>
  <si>
    <t xml:space="preserve">Niveles anuales: Bronce &lt;600 · Plata 600-1,499 · Oro 1,500-2,499 · Platino 2,500+</t>
  </si>
  <si>
    <t xml:space="preserve">EVALUACIÓN DE KAIZEN — DaiPuntos</t>
  </si>
  <si>
    <t xml:space="preserve">DaiPuntos = matriz + bonos. El ahorro NO da puntos aquí: los proyectos con ahorro van al Salón del Ahorro (hoja aparte).</t>
  </si>
  <si>
    <t xml:space="preserve">ID</t>
  </si>
  <si>
    <t xml:space="preserve">Fecha impl.</t>
  </si>
  <si>
    <t xml:space="preserve">Mes</t>
  </si>
  <si>
    <t xml:space="preserve">Líder (persona que cuenta)</t>
  </si>
  <si>
    <t xml:space="preserve">Planta</t>
  </si>
  <si>
    <t xml:space="preserve">Departamento</t>
  </si>
  <si>
    <t xml:space="preserve">Categoría (principal)</t>
  </si>
  <si>
    <t xml:space="preserve">IMPACTO</t>
  </si>
  <si>
    <t xml:space="preserve">ALCANCE</t>
  </si>
  <si>
    <t xml:space="preserve">Ahorro MXN/año</t>
  </si>
  <si>
    <t xml:space="preserve">Pts matriz</t>
  </si>
  <si>
    <t xml:space="preserve">Pts ahorro (informativo)</t>
  </si>
  <si>
    <t xml:space="preserve">Bono seg.</t>
  </si>
  <si>
    <t xml:space="preserve">TOTAL</t>
  </si>
  <si>
    <t xml:space="preserve">Revisar</t>
  </si>
  <si>
    <t xml:space="preserve">Problema</t>
  </si>
  <si>
    <t xml:space="preserve">Mejora</t>
  </si>
  <si>
    <t xml:space="preserve">Registró en el Form</t>
  </si>
  <si>
    <t xml:space="preserve">Indicadores marcados en el Form</t>
  </si>
  <si>
    <t xml:space="preserve">Archivo fuente</t>
  </si>
  <si>
    <t xml:space="preserve">Nómina</t>
  </si>
  <si>
    <t xml:space="preserve">2026-05-06</t>
  </si>
  <si>
    <t xml:space="preserve">2026-05</t>
  </si>
  <si>
    <t xml:space="preserve">Genet Campos (registro de prueba)</t>
  </si>
  <si>
    <t xml:space="preserve">Planta 1</t>
  </si>
  <si>
    <t xml:space="preserve">(inválido)</t>
  </si>
  <si>
    <t xml:space="preserve">Seguridad</t>
  </si>
  <si>
    <t xml:space="preserve">Registro de prueba del administrador — no cuenta.</t>
  </si>
  <si>
    <t xml:space="preserve">sd</t>
  </si>
  <si>
    <t xml:space="preserve">df</t>
  </si>
  <si>
    <t xml:space="preserve">Genet Campos</t>
  </si>
  <si>
    <t xml:space="preserve">2026-04-01</t>
  </si>
  <si>
    <t xml:space="preserve">2026-04</t>
  </si>
  <si>
    <t xml:space="preserve">Karina Guadalupe Flores González</t>
  </si>
  <si>
    <t xml:space="preserve">Parras</t>
  </si>
  <si>
    <t xml:space="preserve">Compras</t>
  </si>
  <si>
    <t xml:space="preserve">Ahorro</t>
  </si>
  <si>
    <t xml:space="preserve">Descripción de la mejora vacía ('.')</t>
  </si>
  <si>
    <t xml:space="preserve">Negociación en costo por recoleccion</t>
  </si>
  <si>
    <t xml:space="preserve">.</t>
  </si>
  <si>
    <t xml:space="preserve">Karina Guadalupe Flores Gonzalez</t>
  </si>
  <si>
    <t xml:space="preserve">Ahorro $</t>
  </si>
  <si>
    <t xml:space="preserve">FM-MOP-0023-DR Formato de Kaizen -R3_Karina Guadalupe Flo.xlsx</t>
  </si>
  <si>
    <t xml:space="preserve">3061818</t>
  </si>
  <si>
    <t xml:space="preserve">2026-05-20</t>
  </si>
  <si>
    <t xml:space="preserve">Idalia Recio</t>
  </si>
  <si>
    <t xml:space="preserve">Planta 3/4</t>
  </si>
  <si>
    <t xml:space="preserve">Calidad</t>
  </si>
  <si>
    <t xml:space="preserve">Medio Ambiente</t>
  </si>
  <si>
    <t xml:space="preserve">Indicador dice 'Medio Ambiente' pero la mejora es de método/eficiencia</t>
  </si>
  <si>
    <t xml:space="preserve">Auditores de LPAs realizan su auditoria de proceso con un formato incorrecto.  El cual se les rechaza, ya que no cumple con el programa a auditar correcto y nivel o capa correcto y se tiene que volver a realizar en el formato correcto.</t>
  </si>
  <si>
    <t xml:space="preserve">Incluir en el correo de comunicación de LPAs el link del formato correcto a utilizar para descargarlo con un solo clic</t>
  </si>
  <si>
    <t xml:space="preserve">Kaizen Mayo Calidad_Idalia Recio.xlsx</t>
  </si>
  <si>
    <t xml:space="preserve">3051929</t>
  </si>
  <si>
    <t xml:space="preserve">2026-04-29</t>
  </si>
  <si>
    <t xml:space="preserve">Tania Alejandra Lira Villarreal</t>
  </si>
  <si>
    <t xml:space="preserve">Logística</t>
  </si>
  <si>
    <t xml:space="preserve">VOLATILIDAD EN COSTOS DE RUTA</t>
  </si>
  <si>
    <t xml:space="preserve">COSTOS FIJOS POR PERIODOS DE 3 MESES</t>
  </si>
  <si>
    <t xml:space="preserve">FM-MOP-0023-DR Formato de Kaizen -R3 1 LOGIST_Tania Alejandra Lira.xlsx</t>
  </si>
  <si>
    <t xml:space="preserve">3047688</t>
  </si>
  <si>
    <t xml:space="preserve">2026-05-24</t>
  </si>
  <si>
    <t xml:space="preserve">Federico Alberto Obispo Florencio</t>
  </si>
  <si>
    <t xml:space="preserve">Planta 2</t>
  </si>
  <si>
    <t xml:space="preserve">No se contaba con un metodo para la inspeccion de la parte interna del cargador de rivian</t>
  </si>
  <si>
    <t xml:space="preserve">Se implementa una lampara para la inspeccion visual y deteccion de presencia de componentes del cargador</t>
  </si>
  <si>
    <t xml:space="preserve">Jose Emmanuel Alejo Wong</t>
  </si>
  <si>
    <t xml:space="preserve">FTQ;Eficiencia;Tiempo Muerto</t>
  </si>
  <si>
    <t xml:space="preserve">FM-MOP-0023-DR Formato de Kaizen -R2 Calidad-_Jose Emmanuel Alejo.xlsx</t>
  </si>
  <si>
    <t xml:space="preserve">3039850</t>
  </si>
  <si>
    <t xml:space="preserve">2026-05-28</t>
  </si>
  <si>
    <t xml:space="preserve">Citlalli Ozuna</t>
  </si>
  <si>
    <t xml:space="preserve">Lanzamientos</t>
  </si>
  <si>
    <t xml:space="preserve">Kaizen para evitar quemaduras en area de pegado de foam</t>
  </si>
  <si>
    <t xml:space="preserve">Colocar un porta pistola para evitar quemaduras</t>
  </si>
  <si>
    <t xml:space="preserve">3039635</t>
  </si>
  <si>
    <t xml:space="preserve">2026-06-01</t>
  </si>
  <si>
    <t xml:space="preserve">2026-06</t>
  </si>
  <si>
    <t xml:space="preserve">Maria Fernanda Tovanche</t>
  </si>
  <si>
    <t xml:space="preserve">Materiales</t>
  </si>
  <si>
    <t xml:space="preserve">Se estaba solicitando material al proveedor HURRBARD el cual generaba un costo mensual de 5,514USD considerando el costo de la piezas y el flete logistico de forma semanal.</t>
  </si>
  <si>
    <t xml:space="preserve">Cambio de proveedor a Daimay Yindai con entrega en destino, sin costo logistico.</t>
  </si>
  <si>
    <t xml:space="preserve">Luis Gustavo Garcia Fuentes</t>
  </si>
  <si>
    <t xml:space="preserve">FM-MOP-0023-DR Formato de Kaizen -R3 2_Luis Gustavo Garcia.xlsx</t>
  </si>
  <si>
    <t xml:space="preserve">3049161</t>
  </si>
  <si>
    <t xml:space="preserve">2026-07-03</t>
  </si>
  <si>
    <t xml:space="preserve">2026-07</t>
  </si>
  <si>
    <t xml:space="preserve">Francisco Hernandez Ramirez</t>
  </si>
  <si>
    <t xml:space="preserve">Productividad</t>
  </si>
  <si>
    <t xml:space="preserve">mal flujo de la materia prima y material terminado</t>
  </si>
  <si>
    <t xml:space="preserve">creacion de un flujo de material para evitar retrazos y pedida de este</t>
  </si>
  <si>
    <t xml:space="preserve">Francisco Hernandez</t>
  </si>
  <si>
    <t xml:space="preserve">Eficiencia;5S's</t>
  </si>
  <si>
    <t xml:space="preserve">Kaizen_LAUNCH_JUNIO_2026_Francisco Hernandez.xlsx</t>
  </si>
  <si>
    <t xml:space="preserve">3055346</t>
  </si>
  <si>
    <t xml:space="preserve">2026-05-18</t>
  </si>
  <si>
    <t xml:space="preserve">Brandon Durán</t>
  </si>
  <si>
    <t xml:space="preserve">Costos elevados de tiempo extra en aduana</t>
  </si>
  <si>
    <t xml:space="preserve">Conseguir otro agente aduanal para obtener una mejor tarifa</t>
  </si>
  <si>
    <t xml:space="preserve">Brandon Alejandro Duran Rios</t>
  </si>
  <si>
    <t xml:space="preserve">Eficiencia;Ahorro $</t>
  </si>
  <si>
    <t xml:space="preserve">FM-MOP-0023-DR Formato de Kaizen -R3 1 JUNIO_Brandon Alejandro Du.xlsx</t>
  </si>
  <si>
    <t xml:space="preserve">3059699</t>
  </si>
  <si>
    <t xml:space="preserve">2026-07-02</t>
  </si>
  <si>
    <t xml:space="preserve">Juan Carlos Guerrero Lozano</t>
  </si>
  <si>
    <t xml:space="preserve">Manufactura</t>
  </si>
  <si>
    <t xml:space="preserve">Lineas de produccion deficientes</t>
  </si>
  <si>
    <t xml:space="preserve">Colocacion de cabinas para Esprayado</t>
  </si>
  <si>
    <t xml:space="preserve">Carlos Lozano</t>
  </si>
  <si>
    <t xml:space="preserve">Eficiencia;FTQ;5S's;Ergonomía</t>
  </si>
  <si>
    <t xml:space="preserve">Kaizen_MFG_JUNIO_2026_Carlos Lozano.xlsx</t>
  </si>
  <si>
    <t xml:space="preserve">3038990</t>
  </si>
  <si>
    <t xml:space="preserve">Monica Sifuentes Ortiz</t>
  </si>
  <si>
    <t xml:space="preserve">Recursos Humanos</t>
  </si>
  <si>
    <t xml:space="preserve">Anteriormente, el reporte de transportes se llevaba en formato impreso, lo que generaba demoras en la revisión y respuesta de la información por DM. Este proceso manual incrementaba los tiempos de atención y dificultaba el acceso oportuno a los datos necesarios para la toma de decisiones.</t>
  </si>
  <si>
    <t xml:space="preserve">Se implementará un código QR enlazado al correo electrónico, con el objetivo de facilitar la comunicación con el usuario y obtener su retroalimentación de manera ágil, permitiendo brindar respuestas más oportunas y mejorar el seguimiento de las solicitudes.</t>
  </si>
  <si>
    <t xml:space="preserve">Monica Arcelia Sifuentes Ortiz</t>
  </si>
  <si>
    <t xml:space="preserve">Eficiencia;Tiempo Muerto</t>
  </si>
  <si>
    <t xml:space="preserve">FM-MOP-0023-DR Formato de Kaizen -R3 (003)_Monica Arcelia Sifue.xlsx</t>
  </si>
  <si>
    <t xml:space="preserve">3065185</t>
  </si>
  <si>
    <t xml:space="preserve">2026-05-25</t>
  </si>
  <si>
    <t xml:space="preserve">Ricardo Valdivia Leyva</t>
  </si>
  <si>
    <t xml:space="preserve">Piezas fuera de especificacion</t>
  </si>
  <si>
    <t xml:space="preserve">Instalacion de poka yoke mecanico</t>
  </si>
  <si>
    <t xml:space="preserve">FTQ</t>
  </si>
  <si>
    <t xml:space="preserve">Kaizen Calidad P3-4-Junio_Ricardo Valdivia Ley.xlsx</t>
  </si>
  <si>
    <t xml:space="preserve">3029443</t>
  </si>
  <si>
    <t xml:space="preserve">2026-06-05</t>
  </si>
  <si>
    <t xml:space="preserve">Ricardo Mendoza Hernandez</t>
  </si>
  <si>
    <t xml:space="preserve">Racks dañados en area de empaque</t>
  </si>
  <si>
    <t xml:space="preserve">Cambiar racks dañados y habilidar 16 espacios adicionales</t>
  </si>
  <si>
    <t xml:space="preserve">Seguridad;5S's</t>
  </si>
  <si>
    <t xml:space="preserve">FM-MOP-0023-DR Formato de Kaizen -R3 Reemplaz_Ricardo Mendoza Hern.xlsx</t>
  </si>
  <si>
    <t xml:space="preserve">3035680</t>
  </si>
  <si>
    <t xml:space="preserve">2026-07-17</t>
  </si>
  <si>
    <t xml:space="preserve">(líder no identificado)</t>
  </si>
  <si>
    <t xml:space="preserve">Planta 6/7</t>
  </si>
  <si>
    <t xml:space="preserve">El campo "Nombre de líder" trae texto no válido ("Optimización del area de trabajo"). Nómina 3062914. Confirmar con quien lo registró.</t>
  </si>
  <si>
    <t xml:space="preserve">érdida de tiempo buscando materiales. * Riesgo de contaminación o daño del producto. * Mayor probabilidad de accidentes. * Mala imagen del área de trabajo.</t>
  </si>
  <si>
    <t xml:space="preserve">instalar, asignar, retirar, ordenar, delimitar</t>
  </si>
  <si>
    <t xml:space="preserve">Fernanda Monserrath Vielma Zavala</t>
  </si>
  <si>
    <t xml:space="preserve">Ergonomía;Eficiencia;Tiempo Muerto;5S's</t>
  </si>
  <si>
    <t xml:space="preserve">Kaizen Mesas de inspección Cuarentena -Antoni_Fernanda Monserrath.xlsx</t>
  </si>
  <si>
    <t xml:space="preserve">3062914</t>
  </si>
  <si>
    <t xml:space="preserve">2026-06-22</t>
  </si>
  <si>
    <t xml:space="preserve">Felipe Angel Guerrero Herrera</t>
  </si>
  <si>
    <t xml:space="preserve">Mantenimiento</t>
  </si>
  <si>
    <t xml:space="preserve">plancha, se baja sola al estar inoperante, con riesgo de atrapamiento a operador.</t>
  </si>
  <si>
    <t xml:space="preserve">implementacion de un Shot pin de seguridad que mantenga la platina de la maquina en reposo y evite caerse aun si se queda sin energia neumatica.</t>
  </si>
  <si>
    <t xml:space="preserve">Kaizen_Mtto_JUN_2026_Felipe Angel Guerrer.xlsx</t>
  </si>
  <si>
    <t xml:space="preserve">3060762</t>
  </si>
  <si>
    <t xml:space="preserve">2026-06-30</t>
  </si>
  <si>
    <t xml:space="preserve">Rack para coodo de materiales de ensamble en descansabrazos</t>
  </si>
  <si>
    <t xml:space="preserve">colocar el ensamble de los descansabrazos; teniendo problemas de acomodo y ergonomia en el personal</t>
  </si>
  <si>
    <t xml:space="preserve">Seguridad;Ergonomía;5S's</t>
  </si>
  <si>
    <t xml:space="preserve">Kaizen lanzameintos Junio Planta 4_Citlalli Ozuna.xlsx</t>
  </si>
  <si>
    <t xml:space="preserve">Gerardo Aguilar González</t>
  </si>
  <si>
    <t xml:space="preserve">Se generaban tiempos de espera, acumulación de piezas, riesgos en las entregas por el volumen de piezas por retrabajar</t>
  </si>
  <si>
    <t xml:space="preserve">se instaló una segunda pieza prensa dedicada para el porceso de retrabajo</t>
  </si>
  <si>
    <t xml:space="preserve">Gerardo Aguilar Gonzalez</t>
  </si>
  <si>
    <t xml:space="preserve">Eficiencia</t>
  </si>
  <si>
    <t xml:space="preserve">Kaizen Manufactura Julio 26_Gerardo Aguilar Gonz.xlsx</t>
  </si>
  <si>
    <t xml:space="preserve">3060366</t>
  </si>
  <si>
    <t xml:space="preserve">2026-06-29</t>
  </si>
  <si>
    <t xml:space="preserve">Mario Alberto Duron Sifuentes</t>
  </si>
  <si>
    <t xml:space="preserve">Camara de vision ajustada solo a un nivel de tiro corto presentado en lock tab de bracket</t>
  </si>
  <si>
    <t xml:space="preserve">Se mejora el ajuste de la camara de vision con diferentes niveles de tiro corto en el lock tab del bracket, obteniendo 3 red rabbits para la liberacion del proceso y validacion de la camara de vision</t>
  </si>
  <si>
    <t xml:space="preserve">Mario Alberto Durón Sifuentes</t>
  </si>
  <si>
    <t xml:space="preserve">FTQ;Scrap</t>
  </si>
  <si>
    <t xml:space="preserve">Kaizen Julio 2026 Calidad Nuevo formato_Mario Alberto Durón.xlsx</t>
  </si>
  <si>
    <t xml:space="preserve">3064460</t>
  </si>
  <si>
    <t xml:space="preserve">Jose Isai Tostado Beltran</t>
  </si>
  <si>
    <t xml:space="preserve">daño de secador y no se cuenta con tarjetas obsoletas no se puede reparar se realiza cambio de control y se reconecta dejando funcional secador</t>
  </si>
  <si>
    <t xml:space="preserve">reparacion de control de secador</t>
  </si>
  <si>
    <t xml:space="preserve">Mariana Valencia</t>
  </si>
  <si>
    <t xml:space="preserve">Tiempo Muerto;Ahorro $</t>
  </si>
  <si>
    <t xml:space="preserve">kaizen Junio 2026_Mariana Valencia.xlsx</t>
  </si>
  <si>
    <t xml:space="preserve">3024217</t>
  </si>
  <si>
    <t xml:space="preserve">2026-07-04</t>
  </si>
  <si>
    <t xml:space="preserve">Arturo Romo</t>
  </si>
  <si>
    <t xml:space="preserve">TOLVA SE ESCARCHA DESPUES DE VARIAS CARGAS O TIEMPO</t>
  </si>
  <si>
    <t xml:space="preserve">ESTABLECER UNA HORA PARA LA LIMPIEZA Y SECADO</t>
  </si>
  <si>
    <t xml:space="preserve">Arturo Romo Antonio</t>
  </si>
  <si>
    <t xml:space="preserve">Scrap;Tiempo Muerto;Eficiencia</t>
  </si>
  <si>
    <t xml:space="preserve">kaizen Julio 2026 Nitro_Arturo Romo Antonio.xlsx</t>
  </si>
  <si>
    <t xml:space="preserve">3064592</t>
  </si>
  <si>
    <t xml:space="preserve">Arsenio E Vazquez</t>
  </si>
  <si>
    <t xml:space="preserve">Contenido inválido: problema='Mexico', mejora=correo electrónico</t>
  </si>
  <si>
    <t xml:space="preserve">Mexico</t>
  </si>
  <si>
    <t xml:space="preserve">evazquez@daimayus.com</t>
  </si>
  <si>
    <t xml:space="preserve">Arsenio Vazquez</t>
  </si>
  <si>
    <t xml:space="preserve">FTQ;Ahorro $</t>
  </si>
  <si>
    <t xml:space="preserve">FM-MOP-0023-DR Formato de Kaizen -R3 (1)_Arsenio Vazquez.xlsx</t>
  </si>
  <si>
    <t xml:space="preserve">3030820</t>
  </si>
  <si>
    <t xml:space="preserve">2026-07-13</t>
  </si>
  <si>
    <t xml:space="preserve">Maximiliano Escobedo</t>
  </si>
  <si>
    <t xml:space="preserve">No se tiene un checklist de transferencia en programas interplantas</t>
  </si>
  <si>
    <t xml:space="preserve">Crear un checklist de transferencia de programas para un seguimiento puntual en las actividades a realizar</t>
  </si>
  <si>
    <t xml:space="preserve">KAIZEN JULIO CHECKLIST DE TRANSFERENCIA_Maximiliano Escobedo.xlsx</t>
  </si>
  <si>
    <t xml:space="preserve">3041291</t>
  </si>
  <si>
    <t xml:space="preserve">2026-07-14</t>
  </si>
  <si>
    <t xml:space="preserve">Emiliano Zuñiga</t>
  </si>
  <si>
    <t xml:space="preserve">En el área de nitrógeno, las cajas de material correspondientes a los botones se almacenan en un solo estante sin una organización definida. Actualmente se manejan más de 10 números de parte, los cuales se encuentran mezclados y sin una identificación visual clara. Esta condición dificulta que el operador o el runner localicen rápidamente el material requerido, incrementando el tiempo de búsqueda </t>
  </si>
  <si>
    <t xml:space="preserve">se instalará un rack de mayor capacidad para organizar las cajas de material y asignar un espacio específico a cada número de parte. Además, se implementarán ayudas visuales mediante etiquetas y señalización para facilitar la identificación del material, reduciendo el tiempo de búsqueda y minimizando errores en el abastecimiento.</t>
  </si>
  <si>
    <t xml:space="preserve">Fannie Grettelle Aguilar Valero</t>
  </si>
  <si>
    <t xml:space="preserve">Eficiencia;Tiempo Muerto;5S's</t>
  </si>
  <si>
    <t xml:space="preserve">FM-MOP-0023-DR Formato de Kaizen -R3_Fannie Grettelle Agu.xlsx</t>
  </si>
  <si>
    <t xml:space="preserve">3063949</t>
  </si>
  <si>
    <t xml:space="preserve">2026-07-10</t>
  </si>
  <si>
    <t xml:space="preserve">Llegada de maquinas de inyeccion se necesita hacer espacio y facilidades</t>
  </si>
  <si>
    <t xml:space="preserve">Movimiento de 2  maquinas 714 y 715 de 160 toneladas a nueva locacion para hacer espacio e instalar maquinas nuevas que mandaran de china  realizacion de bajadas elecricas de agua de aire conexion de maquina nivelacion y pruebas de funcionamiento.</t>
  </si>
  <si>
    <t xml:space="preserve">kaizen julio 2026_Mariana Valencia.xlsx</t>
  </si>
  <si>
    <t xml:space="preserve">José Gerardo Gudiño Ruiz</t>
  </si>
  <si>
    <t xml:space="preserve">Cenzontle No. 7 Parque Industrial Finsa Ramos Arizpe, Coahuila, Mexico.</t>
  </si>
  <si>
    <t xml:space="preserve">La descripción trae un correo pegado antes del texto</t>
  </si>
  <si>
    <t xml:space="preserve">No se tenia espejo concavo en DQMC Moldeo</t>
  </si>
  <si>
    <t xml:space="preserve">jgudino@daimayus.comNo se tenia visibilidad efectiva en el área, y se opto por colocar un espejo concavo para mejorar la visibiidad del transito y eliminar el riesgo de accidentes por equipo motorizado</t>
  </si>
  <si>
    <t xml:space="preserve">Jose Gerardo Gudiño Ruiz</t>
  </si>
  <si>
    <t xml:space="preserve">FM-MOP-0023-DR Formato de Kaizen  junio 26_Jose Gerardo Gudiño.xlsx</t>
  </si>
  <si>
    <t xml:space="preserve">2026-06-18</t>
  </si>
  <si>
    <t xml:space="preserve">Ulises Hernandez</t>
  </si>
  <si>
    <t xml:space="preserve">Producción</t>
  </si>
  <si>
    <t xml:space="preserve">Defectos y tiempo muerto por daños de molde</t>
  </si>
  <si>
    <t xml:space="preserve">Se implementan camaras de vision para prevenir daños de molde</t>
  </si>
  <si>
    <t xml:space="preserve">Ulises Eduardo Hernandez Perez</t>
  </si>
  <si>
    <t xml:space="preserve">Scrap;Tiempo Muerto</t>
  </si>
  <si>
    <t xml:space="preserve">FM-MOP-0023-DR Formato de Kaizen -R2 (2)_Ulises Eduardo Herna.xlsx</t>
  </si>
  <si>
    <t xml:space="preserve">3055561</t>
  </si>
  <si>
    <t xml:space="preserve">2026-06-25</t>
  </si>
  <si>
    <t xml:space="preserve">Saúl Antonio Gallegos Sánchez</t>
  </si>
  <si>
    <t xml:space="preserve">EHS</t>
  </si>
  <si>
    <t xml:space="preserve">El área no cuenta con una estación lava ojos</t>
  </si>
  <si>
    <t xml:space="preserve">Colocar una estación lava ojos para cualquier emergencia</t>
  </si>
  <si>
    <t xml:space="preserve">Saul Antonio Gallegos Sanchez</t>
  </si>
  <si>
    <t xml:space="preserve">FM-MOP-0023-DR Formato de Kaizen -R3 LAVA OJO_Saul Antonio Gallego.xlsx</t>
  </si>
  <si>
    <t xml:space="preserve">3030328</t>
  </si>
  <si>
    <t xml:space="preserve">2026-06-10</t>
  </si>
  <si>
    <t xml:space="preserve">Monserrat Arana</t>
  </si>
  <si>
    <t xml:space="preserve">Descripción muy pobre para justificar puntos ('Ahorro en cambio de proveedor')</t>
  </si>
  <si>
    <t xml:space="preserve">Compra de material directo</t>
  </si>
  <si>
    <t xml:space="preserve">Ahorro en cambio de proveedor</t>
  </si>
  <si>
    <t xml:space="preserve">FM-MOP-0023-DR Formato de Kaizen - EFLEXO_Luis Gustavo Garcia.xlsx</t>
  </si>
  <si>
    <t xml:space="preserve">3041429</t>
  </si>
  <si>
    <t xml:space="preserve">2026-07-06</t>
  </si>
  <si>
    <t xml:space="preserve">Ruben Siller</t>
  </si>
  <si>
    <t xml:space="preserve">Ocupacion baja en rutas de transporte de fines de semana</t>
  </si>
  <si>
    <t xml:space="preserve">Reduccion de rutas de transprote para aumentar la ocupacion y disminuir costo</t>
  </si>
  <si>
    <t xml:space="preserve">Ruben Alejandro Siller Valverde</t>
  </si>
  <si>
    <t xml:space="preserve">Copy of FM-MOP-0023-DR Formato de Kaizen -JUL_Ruben Alejandro Sill.xlsx</t>
  </si>
  <si>
    <t xml:space="preserve">3055539</t>
  </si>
  <si>
    <t xml:space="preserve">Gerardo Gudiño Ruiz</t>
  </si>
  <si>
    <t xml:space="preserve">Daño en tuberias de sistema lavaojos por alta dureza en el agua utilizada.</t>
  </si>
  <si>
    <t xml:space="preserve">Se coloca lavaojos portatil con agua y solución de Ag para eliminar sales minerales.</t>
  </si>
  <si>
    <t xml:space="preserve">Seguridad;Medio Ambiente</t>
  </si>
  <si>
    <t xml:space="preserve">3058416</t>
  </si>
  <si>
    <t xml:space="preserve">Eduardo Gonzalez</t>
  </si>
  <si>
    <t xml:space="preserve">no se tenia para personal directo registro de vacaciones en linea</t>
  </si>
  <si>
    <t xml:space="preserve">se pone kiosko con aplicacion de porwer app para que puedan acceder a pedir sus vacaciones de manera electronica</t>
  </si>
  <si>
    <t xml:space="preserve">Diana Themis Zacanelles Orta</t>
  </si>
  <si>
    <t xml:space="preserve">Eficiencia;Tiempo Muerto;Ahorro $</t>
  </si>
  <si>
    <t xml:space="preserve">Formato de Kaizen RH Julio_Diana Themis Zacanel.xlsx</t>
  </si>
  <si>
    <t xml:space="preserve">3029246</t>
  </si>
  <si>
    <t xml:space="preserve">Anteriormente se usaba una cinta para cubrir sus dedos, esa cinta generaba un gasto ya que era parte del proceso de producción</t>
  </si>
  <si>
    <t xml:space="preserve">Se cambia a una cinta dedal mas economica exclusiva como equipo de protección</t>
  </si>
  <si>
    <t xml:space="preserve">Seguridad;Ahorro $</t>
  </si>
  <si>
    <t xml:space="preserve">FM-MOP-0023-DR Formato de Kaizen -R3 Julio EH_Saul Antonio Gallego.xlsx</t>
  </si>
  <si>
    <t xml:space="preserve">2026-07-15</t>
  </si>
  <si>
    <t xml:space="preserve">acumulado de material productivo que se empalmaba y generaba daños</t>
  </si>
  <si>
    <t xml:space="preserve">se coloca un tandedero par apoder tener mejor aocmodo dle material productivo</t>
  </si>
  <si>
    <t xml:space="preserve">Ergonomía;Eficiencia;Scrap;Tiempo Muerto</t>
  </si>
  <si>
    <t xml:space="preserve">Kaizen_LAUNCH_JULIO_2026_Francisco Hernandez.xlsx</t>
  </si>
  <si>
    <t xml:space="preserve">El sistema agrupaba a los colaboradores en líneas de producción de forma general. Era complicado identificar con precisión el área específica donde laboraba cada empleado. Esto ocasionaba demoras al generar reportes, realizar movimientos de personal o analizar indicadores por área.</t>
  </si>
  <si>
    <t xml:space="preserve">Se actualizó el catálogo de líneas y se asignó a cada colaborador el área específica donde realmente desempeña sus funciones. Se homologó la nomenclatura para evitar confusiones entre áreas.</t>
  </si>
  <si>
    <t xml:space="preserve">FM-MOP-0023-DR Formato de Kaizen -R3 - PROPUE_Monica Arcelia Sifue.xlsx</t>
  </si>
  <si>
    <t xml:space="preserve">Gerardo Rodriguez Garay</t>
  </si>
  <si>
    <t xml:space="preserve">Cabecera T1XX con problemas de alineacion (deformacion)</t>
  </si>
  <si>
    <t xml:space="preserve">revision de piezas con pin actuador de mecanismo</t>
  </si>
  <si>
    <t xml:space="preserve">Gerardo Rodriguez</t>
  </si>
  <si>
    <t xml:space="preserve">Kaizen Moldeo - Julio '2026 (1)_Gerardo Rodriguez.xlsx</t>
  </si>
  <si>
    <t xml:space="preserve">1616978</t>
  </si>
  <si>
    <t xml:space="preserve">2026-07-27</t>
  </si>
  <si>
    <t xml:space="preserve">Creacion de TOOL BOOK</t>
  </si>
  <si>
    <t xml:space="preserve">Kaizen_MFG_JULIO_2026_Carlos Lozano.xlsx</t>
  </si>
  <si>
    <t xml:space="preserve">2026-07-20</t>
  </si>
  <si>
    <t xml:space="preserve">Hector Velasco</t>
  </si>
  <si>
    <t xml:space="preserve">La máquina de ensamble de botón presenta fallas recurrentes desde principios de mayo. La principal causa es el movimiento de la cámara de visión, ya que no se encuentra correctamente sujeta. Esta condición provoca falsos rechazos de piezas y paros frecuentes de la máquina, afectando la estabilidad del proceso y la productividad.</t>
  </si>
  <si>
    <t xml:space="preserve">Se propone diseñar e instalar una base de soporte para asegurar la correcta fijación de la cámara de visión y eliminar su movimiento durante el ciclo de operación de la máquina. Con esta mejora se busca reducir los falsos rechazos, minimizar los paros de máquina y aumentar la eficiencia del proceso de ensamble</t>
  </si>
  <si>
    <t xml:space="preserve">Jennifer Garcia Gregorio</t>
  </si>
  <si>
    <t xml:space="preserve">Formato de Kaizen Manufactura P6_Jennifer Garcia Greg.xlsx</t>
  </si>
  <si>
    <t xml:space="preserve">3035216</t>
  </si>
  <si>
    <t xml:space="preserve">Erik Fernando Zapata</t>
  </si>
  <si>
    <t xml:space="preserve">La inspeccion  de DQMC tiene altos tiempos ciclo de liberacion por que se han agregado diferentes inspecciones por las varias alertas de calidad que se han reportado</t>
  </si>
  <si>
    <t xml:space="preserve">Se propone eliminar la inspeccion con el gage de distancia de postes para reducir el tiempo ciclo 1.50 seg y mejorar el tiempo general de ciclo que aumento por los diversos puntos agregados, ahora se toma esa misma distancia en el proceso anterior, unificando inspecciones (Esto representa un total de 143 piezas mas por turno por mesa y por version , dando un total 572 pieza totales.</t>
  </si>
  <si>
    <t xml:space="preserve">Hector Orduño Jauregui</t>
  </si>
  <si>
    <t xml:space="preserve">Kaizen Julio 2026_Hector Orduño Jaureg.xlsx</t>
  </si>
  <si>
    <t xml:space="preserve">3048407</t>
  </si>
  <si>
    <t xml:space="preserve">Alejandro Lopez Lopez</t>
  </si>
  <si>
    <t xml:space="preserve">Descripción circular ('Se digitaliza el reporte' = el problema)</t>
  </si>
  <si>
    <t xml:space="preserve">Se digitaliza proceso de reporte de transporte</t>
  </si>
  <si>
    <t xml:space="preserve">Se digitaliza el reporte de transporte</t>
  </si>
  <si>
    <t xml:space="preserve">Tiempo Muerto;Eficiencia;Ahorro $</t>
  </si>
  <si>
    <t xml:space="preserve">FM-MOP-0023-DR_Kaizen_Reportes_Transporte_For_Alejandro Lopez Lope.xlsx</t>
  </si>
  <si>
    <t xml:space="preserve">3044202</t>
  </si>
  <si>
    <t xml:space="preserve">COSTO ALTO EN RUTA DE SAGE LERMA</t>
  </si>
  <si>
    <t xml:space="preserve">LICITACION PROVEEDORES EXTERNOS</t>
  </si>
  <si>
    <t xml:space="preserve">FM-MOP-0023-DR Formato de Kaizen -R3 1 LOGIST_Tania Alejandra Lira 1.xlsx</t>
  </si>
  <si>
    <t xml:space="preserve">2026-07-22</t>
  </si>
  <si>
    <t xml:space="preserve">Daniel Alejandro Parra Mendoza</t>
  </si>
  <si>
    <t xml:space="preserve">CONTAMINACION DE AREAS</t>
  </si>
  <si>
    <t xml:space="preserve">SE ESTANDARIZO EL AREA DE DISPOSICION DE QUIMICOS PELIGROSOS DEL PROCESO DE FOAM</t>
  </si>
  <si>
    <t xml:space="preserve">Seguridad;Medio Ambiente;Scrap;5S's</t>
  </si>
  <si>
    <t xml:space="preserve">FM-MOP-0023-DR Formato de Kaizen - Julio_Daniel Alejandro Par.xlsx</t>
  </si>
  <si>
    <t xml:space="preserve">3066566</t>
  </si>
  <si>
    <t xml:space="preserve">2026-07-24</t>
  </si>
  <si>
    <t xml:space="preserve">Omar Alvarez</t>
  </si>
  <si>
    <t xml:space="preserve">Extintores de stock colocados en piso, incumplimiento de NOM 002 STPS 2010</t>
  </si>
  <si>
    <t xml:space="preserve">Colocar canastilla para extintores de stock</t>
  </si>
  <si>
    <t xml:space="preserve">Omar Alejandro Alvarez Charles</t>
  </si>
  <si>
    <t xml:space="preserve">FM-MOP-0023-DR Formato de Kaizen -R3 Julio EH_Omar Alejandro Alvar.xlsx</t>
  </si>
  <si>
    <t xml:space="preserve">3067714</t>
  </si>
  <si>
    <t xml:space="preserve">2026-07-28</t>
  </si>
  <si>
    <t xml:space="preserve">operacion manual, con cautin con riesgo a quemarse y a danar el producto</t>
  </si>
  <si>
    <t xml:space="preserve">fabricacion de fixturo semiautomatico</t>
  </si>
  <si>
    <t xml:space="preserve">Seguridad;Eficiencia;Tiempo Muerto;Ahorro $;FTQ;Scrap;Ergonomía</t>
  </si>
  <si>
    <t xml:space="preserve">Kaizen_Mtto_JUL_2026 Mejora_Felipe Angel Guerrer.xlsx</t>
  </si>
  <si>
    <t xml:space="preserve">2026-07-18</t>
  </si>
  <si>
    <t xml:space="preserve">Platina se cae, al perder presion con riesgo a danar al colaborador y pueda povocar un accidente</t>
  </si>
  <si>
    <t xml:space="preserve">implementacion de shot pin, mejora en la logica del PLC y ayuda visual.</t>
  </si>
  <si>
    <t xml:space="preserve">Seguridad;Ergonomía;Eficiencia;Scrap;Tiempo Muerto</t>
  </si>
  <si>
    <t xml:space="preserve">Kaizen_Mtto_JUL_2026 Seguridad_Felipe Angel Guerrer.xlsx</t>
  </si>
  <si>
    <t xml:space="preserve">2026-08-17</t>
  </si>
  <si>
    <t xml:space="preserve">2026-08</t>
  </si>
  <si>
    <t xml:space="preserve">Adrian Rodriguez Campos</t>
  </si>
  <si>
    <t xml:space="preserve">DESCONOCIMIENTO DE PUNTOS CIEGOS DE OPERADORES DE EQUIPO MOVIL</t>
  </si>
  <si>
    <t xml:space="preserve">CAPACITACIÓN Y AYUDAS VISUALES</t>
  </si>
  <si>
    <t xml:space="preserve">Adrian Rodrigues Campos</t>
  </si>
  <si>
    <t xml:space="preserve">FM-MOP-0023-DR Formato de Kaizen - Equipos mó_Adrian Rodrigues Cam.xlsx</t>
  </si>
  <si>
    <t xml:space="preserve">3061108</t>
  </si>
  <si>
    <t xml:space="preserve">2026-07-29</t>
  </si>
  <si>
    <t xml:space="preserve">Berenice Esquivel</t>
  </si>
  <si>
    <t xml:space="preserve">Parece contención/recuperación, no mejora permanente</t>
  </si>
  <si>
    <t xml:space="preserve">Recuperacion de componentes por daño de maquina</t>
  </si>
  <si>
    <t xml:space="preserve">Se realiza el desensamble de la pieza para recuperar componentes</t>
  </si>
  <si>
    <t xml:space="preserve">Berenice Esquivel Delgadillo</t>
  </si>
  <si>
    <t xml:space="preserve">Scrap</t>
  </si>
  <si>
    <t xml:space="preserve">FM-MOP-0023-DR Formato de Kaizen -R3_Berenice Esquivel De.xlsx</t>
  </si>
  <si>
    <t xml:space="preserve">3027573</t>
  </si>
  <si>
    <t xml:space="preserve">Convertido de 1,069.00 USD a MXN @ 17 (su formato declara USD).</t>
  </si>
  <si>
    <t xml:space="preserve">Ahorro de costo, cambio de proveedor externo a manufacturado en planta 7</t>
  </si>
  <si>
    <t xml:space="preserve">Ahorro anual de $1,069 USD</t>
  </si>
  <si>
    <t xml:space="preserve">FM-MOP-0023-DR Formato de Kaizen -R3 Cambio d_Ricardo Mendoza Hern.xlsx</t>
  </si>
  <si>
    <t xml:space="preserve">Cristian Medrano</t>
  </si>
  <si>
    <t xml:space="preserve">Deteccion de posicion de bracket en rear header, se hacer por medio de uso de vernier, el proceso es tardado y podemos tener variacion</t>
  </si>
  <si>
    <t xml:space="preserve">Incluir un gague con las tolerancias de Minimo, Nominal y Maximo, medidas seteadas y hacer mas rapido el proceso de inspeccion</t>
  </si>
  <si>
    <t xml:space="preserve">Laura Elena Velasco Villanueva</t>
  </si>
  <si>
    <t xml:space="preserve">3044483</t>
  </si>
  <si>
    <t xml:space="preserve">Erik Ovalle</t>
  </si>
  <si>
    <t xml:space="preserve">El Igloo no tenia donde podria colocarse</t>
  </si>
  <si>
    <t xml:space="preserve">Se realiza una estructura movil para colocarlo y trasladarlo</t>
  </si>
  <si>
    <t xml:space="preserve">Guillermo Garcia</t>
  </si>
  <si>
    <t xml:space="preserve">Ergonomía;5S's</t>
  </si>
  <si>
    <t xml:space="preserve">Kaizen MFG P4_Guillermo Garcia.xlsx</t>
  </si>
  <si>
    <t xml:space="preserve">1705611</t>
  </si>
  <si>
    <t xml:space="preserve">2026-07-31</t>
  </si>
  <si>
    <t xml:space="preserve">Cortes de vinil mal</t>
  </si>
  <si>
    <t xml:space="preserve">Colocacion de pedestal para evitar movimiento de tela</t>
  </si>
  <si>
    <t xml:space="preserve">Luis Reyes</t>
  </si>
  <si>
    <t xml:space="preserve">Redactado como 'Evaluar el cambio' — ¿ya se implementó?</t>
  </si>
  <si>
    <t xml:space="preserve">material de 1mm se identifica OM para la alineacion durante el cerrado y la costura de alrededor</t>
  </si>
  <si>
    <t xml:space="preserve">Evaluar el cambio de material laminado de 1mm a 5mm</t>
  </si>
  <si>
    <t xml:space="preserve">Kaizen_Prueba_Material_5mm_T1XX-Luis Reyes_Fernanda Monserrath.xlsx</t>
  </si>
  <si>
    <t xml:space="preserve">3066350</t>
  </si>
  <si>
    <t xml:space="preserve">Moises Adame</t>
  </si>
  <si>
    <t xml:space="preserve">Redactado como 'Se propone' — ¿ya se implementó?</t>
  </si>
  <si>
    <t xml:space="preserve">Actualmente cada prensa tiene un tiempo ciclo de 157.1 segundos por disparo generando la inyeccion de 8 piezas en cada disparo.</t>
  </si>
  <si>
    <t xml:space="preserve">Se propone disminuir la distacia de cierre de platinas de 700 mm a 600 mm, para disminuir el tiempo de ciclo.</t>
  </si>
  <si>
    <t xml:space="preserve">Teresita Gallegos</t>
  </si>
  <si>
    <t xml:space="preserve">FM-MOP-0023-DR Formato de Kaizen -R3 (1)_Teresita Gallegos.xlsx</t>
  </si>
  <si>
    <t xml:space="preserve">3051229</t>
  </si>
  <si>
    <t xml:space="preserve">Marco Rodríguez</t>
  </si>
  <si>
    <t xml:space="preserve">No se cuentan con mesas de trabajo</t>
  </si>
  <si>
    <t xml:space="preserve">Se realizan mesas de trabajo con racks que ya no serán utilizados</t>
  </si>
  <si>
    <t xml:space="preserve">Karla Guadalupe Padilla Gonzalez</t>
  </si>
  <si>
    <t xml:space="preserve">3030351</t>
  </si>
  <si>
    <t xml:space="preserve">2026-05-01</t>
  </si>
  <si>
    <t xml:space="preserve">Citlali Nalleli Garza Hernandez</t>
  </si>
  <si>
    <t xml:space="preserve">Cambio de herramienta (brochas)  de trabajo por rápido desgaste y generar más desperdicio de ECL</t>
  </si>
  <si>
    <t xml:space="preserve">Se remplaza la herramienta actual</t>
  </si>
  <si>
    <t xml:space="preserve">Ensamble Produccion</t>
  </si>
  <si>
    <t xml:space="preserve">KAIZEN JULIO ENSAMBLE  2026_Ensamble Produccion.xlsx</t>
  </si>
  <si>
    <t xml:space="preserve">3042836</t>
  </si>
  <si>
    <t xml:space="preserve">2026-07-07</t>
  </si>
  <si>
    <t xml:space="preserve">Alejandra Armendariz</t>
  </si>
  <si>
    <t xml:space="preserve">Daño de piezas al momento de el forrado, por acomulacion de piezas</t>
  </si>
  <si>
    <t xml:space="preserve">Implementacion de estante para colocacion de piezas</t>
  </si>
  <si>
    <t xml:space="preserve">Nestor  Garcia Castro Garcia Castro</t>
  </si>
  <si>
    <t xml:space="preserve">Scrap;Ahorro $</t>
  </si>
  <si>
    <t xml:space="preserve">Kaizen Rivian Door julio_Nestor  Garcia Castr.xlsx</t>
  </si>
  <si>
    <t xml:space="preserve">105079</t>
  </si>
  <si>
    <t xml:space="preserve">2026-07-01</t>
  </si>
  <si>
    <t xml:space="preserve">Alejandra Natali Puente Vielma</t>
  </si>
  <si>
    <t xml:space="preserve">Costo de servicio de hospedaje</t>
  </si>
  <si>
    <t xml:space="preserve">Reducción del costo por noche de hospedaje</t>
  </si>
  <si>
    <t xml:space="preserve">FM-MOP-0023-DR Formato de Kaizen -R3 Natali P_Alejandra Natali Pue.xlsx</t>
  </si>
  <si>
    <t xml:space="preserve">3026412</t>
  </si>
  <si>
    <t xml:space="preserve">Falta de trazabilidad en el subensamble del modulo</t>
  </si>
  <si>
    <t xml:space="preserve">Colocacion de etiqueta para trazabilidad de las piezas</t>
  </si>
  <si>
    <t xml:space="preserve">FM-MOP-0023-DR Formato de Kaizen -R2 Calidad-_Jose Emmanuel Alejo 1.xlsx</t>
  </si>
  <si>
    <t xml:space="preserve">Jaziel Mancilla</t>
  </si>
  <si>
    <t xml:space="preserve">Componentes dañados en empaque</t>
  </si>
  <si>
    <t xml:space="preserve">Se mejora el estandar pack de 50 piezas a 40 piezas para evitar peso excesivo que dañe los componentes</t>
  </si>
  <si>
    <t xml:space="preserve">Hector Jaziel Martinez</t>
  </si>
  <si>
    <t xml:space="preserve">Scrap;FTQ;5S's</t>
  </si>
  <si>
    <t xml:space="preserve">Copy of Kaizen_Produccion_Julio_2026_Hector Jaziel Martin.xlsx</t>
  </si>
  <si>
    <t xml:space="preserve">3026189</t>
  </si>
  <si>
    <t xml:space="preserve">2026-06-28</t>
  </si>
  <si>
    <t xml:space="preserve">Generar parciales con la cantidad y mezcla en los cambios de Numeros de Parte</t>
  </si>
  <si>
    <t xml:space="preserve">Pizarron de cambios y prioridades desde la primera operacion</t>
  </si>
  <si>
    <t xml:space="preserve">Scrap;5S's</t>
  </si>
  <si>
    <t xml:space="preserve">Copy of Kaizen_Produccion_Junio_2026_Hector Jaziel Martin.xlsx</t>
  </si>
  <si>
    <t xml:space="preserve">Hector Juan Rodriguez</t>
  </si>
  <si>
    <t xml:space="preserve">Falta de identificacion para producto inspeccionado y no inspeccionado en el area de inspeccion final DQMC</t>
  </si>
  <si>
    <t xml:space="preserve">FORRADO DE MESAS EN INSPECCION FINAL DQMC PLANTA 7</t>
  </si>
  <si>
    <t xml:space="preserve">Kaizen Mesa de inspección DQMC -Hector Rodrig_Fernanda Monserrath.xlsx</t>
  </si>
  <si>
    <t xml:space="preserve">3062084</t>
  </si>
  <si>
    <t xml:space="preserve">2026-08-13</t>
  </si>
  <si>
    <t xml:space="preserve">Tableros informativos están con colocados de tal manera que el personal debe de llenarlos en paso de equipo móvil</t>
  </si>
  <si>
    <t xml:space="preserve">Reubicación de los tableros</t>
  </si>
  <si>
    <t xml:space="preserve">Gustavo Vargas</t>
  </si>
  <si>
    <t xml:space="preserve">Cliente no envia transmite su release considerando cubicaje y acomodo de cajas</t>
  </si>
  <si>
    <t xml:space="preserve">Se genera archivo de cubicaje para considerar cubicaje del req de cliente y disputar cajas adicionales en caso de ser necesario y mejorar tiempos en acomodos de material</t>
  </si>
  <si>
    <t xml:space="preserve">Gustavo Vargas Quiroz</t>
  </si>
  <si>
    <t xml:space="preserve">KAIZEN MATERIALES JULIO_Gustavo Vargas Quiro.xlsx</t>
  </si>
  <si>
    <t xml:space="preserve">3061983</t>
  </si>
  <si>
    <t xml:space="preserve">2026-08-29</t>
  </si>
  <si>
    <t xml:space="preserve">Miguel Villegas</t>
  </si>
  <si>
    <t xml:space="preserve">Se estaba teniendo mucho desperdicio en el hilo por falta de un uso exacto del hilo</t>
  </si>
  <si>
    <t xml:space="preserve">Se opto agregar cintas métricas a las metas de costura para tener una medida exacta en el hilo para eviar variaacion</t>
  </si>
  <si>
    <t xml:space="preserve">Miguel Eduardo Villegas Prieto</t>
  </si>
  <si>
    <t xml:space="preserve">FM-MOP-0023-DR Formato de Kaizen -R3_Miguel Eduardo Ville.xlsx</t>
  </si>
  <si>
    <t xml:space="preserve">3055580</t>
  </si>
  <si>
    <t xml:space="preserve">Creacion de aereos e identificaciones para las lineas y estaciones (Facilitar el encontrar un area)</t>
  </si>
  <si>
    <t xml:space="preserve">Kaizen_MFG_AGOSTO_2026 -_Carlos Lozano.xlsx</t>
  </si>
  <si>
    <t xml:space="preserve">2026-08-18</t>
  </si>
  <si>
    <t xml:space="preserve">No se contaba con dispositivos y candados LOT suficientes para los mantenimientos.</t>
  </si>
  <si>
    <t xml:space="preserve">Se coloca estación de dispositivos al disponibles para el personal de mantenimiento.</t>
  </si>
  <si>
    <t xml:space="preserve">FM-MOP-0023-DR Formato de Kaizen -R3 Agosto E_Saul Antonio Gallego.xlsx</t>
  </si>
  <si>
    <t xml:space="preserve">2026-08-21</t>
  </si>
  <si>
    <t xml:space="preserve">Anayeli Rivera Callejas</t>
  </si>
  <si>
    <t xml:space="preserve">Se manejan tonalidades parecidas en las piezas producidas y hay que validar que sea el color correcto</t>
  </si>
  <si>
    <t xml:space="preserve">Un llavero portátil para la comparación de las tonalidades que nos ayude a diferenciar rápida y claramente las tonalidades</t>
  </si>
  <si>
    <t xml:space="preserve">Anayeli Rivera</t>
  </si>
  <si>
    <t xml:space="preserve">FM-MOP-0023-DR Formato de Kaizen -R3 prov_Anayeli Rivera.xlsx</t>
  </si>
  <si>
    <t xml:space="preserve">3031203</t>
  </si>
  <si>
    <t xml:space="preserve">José Carlos Herrera Dávila</t>
  </si>
  <si>
    <t xml:space="preserve">La información de calidad de las líneas Ford &amp; Stellantis se encuentra dispersa, dificultando su consulta y seguimiento oportuno, principalmente en documentación, alertas de calidad y desempeño del FTQ.</t>
  </si>
  <si>
    <t xml:space="preserve">Implementación de un dashboard digital con información real y actualizada para centralizar y facilitar el seguimiento de documentación, alertas de calidad y FTQ de las líneas Ford &amp; Stellantis.</t>
  </si>
  <si>
    <t xml:space="preserve">Jose Carlos Herrera Davila</t>
  </si>
  <si>
    <t xml:space="preserve">3067718</t>
  </si>
  <si>
    <t xml:space="preserve">2026-08-24</t>
  </si>
  <si>
    <t xml:space="preserve">Queja de cliente por ruido en visera</t>
  </si>
  <si>
    <t xml:space="preserve">Se fabrica tapa de acrilico para evitar que entren objetos dentro de la visera</t>
  </si>
  <si>
    <t xml:space="preserve">Scrap;Eficiencia</t>
  </si>
  <si>
    <t xml:space="preserve">Kaizen_LAUNCH_AGOSTO_2026_Francisco Hernandez.xlsx</t>
  </si>
  <si>
    <t xml:space="preserve">No se tiene un control de las incidencias de transporte y buen seguimiento</t>
  </si>
  <si>
    <t xml:space="preserve">se diseña codigo QR para reportar fallas en el servicio de transporte y dar segumiento</t>
  </si>
  <si>
    <t xml:space="preserve">Formato de Kaizen RH Agosto_Diana Themis Zacanel.xlsx</t>
  </si>
  <si>
    <t xml:space="preserve">2026-08-07</t>
  </si>
  <si>
    <t xml:space="preserve">Diego Valencia</t>
  </si>
  <si>
    <t xml:space="preserve">Alto nivel de rechazo por falta de clips en piezas</t>
  </si>
  <si>
    <t xml:space="preserve">Se optimiza nido de ensamble de clips, se colocan sensores de detección y pisador con marcaje de pieza</t>
  </si>
  <si>
    <t xml:space="preserve">Diego Valencia Alcazar</t>
  </si>
  <si>
    <t xml:space="preserve">Tiempo Muerto</t>
  </si>
  <si>
    <t xml:space="preserve">Kaizen Moldeo Agosto 2026_Diego Valencia Alcaz.xlsx</t>
  </si>
  <si>
    <t xml:space="preserve">3062213</t>
  </si>
  <si>
    <t xml:space="preserve">Operaciones</t>
  </si>
  <si>
    <t xml:space="preserve">Baja eficiencia en maquina  IMM-102 y past due con cliente. T1XX Front Housing.</t>
  </si>
  <si>
    <t xml:space="preserve">Disminuir tiempo de ciclo de maquina para incrementar eficiencia mediante ajustes de parametros del proceso</t>
  </si>
  <si>
    <t xml:space="preserve">Kaizen Julio_Ulises Eduardo Herna.xlsx</t>
  </si>
  <si>
    <t xml:space="preserve">2026-08-09</t>
  </si>
  <si>
    <t xml:space="preserve">Erik Javier Aguirre Ramirez</t>
  </si>
  <si>
    <t xml:space="preserve">no se publica prenomina en areas por lo que se genera impacto en las incidencias de nomina</t>
  </si>
  <si>
    <t xml:space="preserve">se crea pagina para la carga de informacion de la prenomina y que el personal la pueda revisar desde su telefono</t>
  </si>
  <si>
    <t xml:space="preserve">Erik Aguirre Ramirez</t>
  </si>
  <si>
    <t xml:space="preserve">Tiempo Muerto;5S's;Ahorro $;Eficiencia;Medio Ambiente</t>
  </si>
  <si>
    <t xml:space="preserve">Kaizen_Prenomina_Digital_Daimay_Erik Aguirre Ramirez.xlsx</t>
  </si>
  <si>
    <t xml:space="preserve">3067002</t>
  </si>
  <si>
    <t xml:space="preserve">2026-08-11</t>
  </si>
  <si>
    <t xml:space="preserve">maquina no cuenta con  herramental de robot  las piezas caen a una caja esto ocaciona que se golpe generando scrap y t.m.</t>
  </si>
  <si>
    <t xml:space="preserve">se fabrica herramental se busca refaccionamiento y se realiza programa y valida en maquina</t>
  </si>
  <si>
    <t xml:space="preserve">kaizen Agosto 2026_Mariana Valencia.xlsx</t>
  </si>
  <si>
    <t xml:space="preserve">2026-08-26</t>
  </si>
  <si>
    <t xml:space="preserve">Alejandro Caseres</t>
  </si>
  <si>
    <t xml:space="preserve">reduccion de marcas en cover F3003360</t>
  </si>
  <si>
    <t xml:space="preserve">Proceso de pre-vaporeo antes de llegar a la estación de ensamble de cover</t>
  </si>
  <si>
    <t xml:space="preserve">Eduardo Morales Rodriguez</t>
  </si>
  <si>
    <t xml:space="preserve">FM-MOP-0023-DR Formato de Kaizen -R3_Eduardo Morales Rodr.xlsx</t>
  </si>
  <si>
    <t xml:space="preserve">3031856</t>
  </si>
  <si>
    <t xml:space="preserve">Jose Tolentino</t>
  </si>
  <si>
    <t xml:space="preserve">Se hacia una deformacion en las piezas costruidas</t>
  </si>
  <si>
    <t xml:space="preserve">Con ayuda de una base implementada en las mesas de tapizado se logro evitar la deformacion de las piezas</t>
  </si>
  <si>
    <t xml:space="preserve">Tiempo Muerto;Eficiencia</t>
  </si>
  <si>
    <t xml:space="preserve">Kaizen - Operaciones_Berenice Esquivel De.xlsx</t>
  </si>
  <si>
    <t xml:space="preserve">3032490</t>
  </si>
  <si>
    <t xml:space="preserve">2026-08-05</t>
  </si>
  <si>
    <t xml:space="preserve">Paola Fernandez</t>
  </si>
  <si>
    <t xml:space="preserve">Malos etiquetados moldeo</t>
  </si>
  <si>
    <t xml:space="preserve">Implementacion de formato LH con sombra</t>
  </si>
  <si>
    <t xml:space="preserve">FM-MOP-0023-DR Formato de Kaizen -R3 2_Paola Fernandez.xlsx</t>
  </si>
  <si>
    <t xml:space="preserve">3030819</t>
  </si>
  <si>
    <t xml:space="preserve">2026-08-10</t>
  </si>
  <si>
    <t xml:space="preserve">Fernando Rodríguez</t>
  </si>
  <si>
    <t xml:space="preserve">Indicador 'Medio Ambiente' pero el beneficio principal es método/eficiencia</t>
  </si>
  <si>
    <t xml:space="preserve">La inspección de escaleras en papel causaba pérdida de información, complicaba el seguimiento de hallazgos y generaba altos costos de impresión y almacenamiento</t>
  </si>
  <si>
    <t xml:space="preserve">Se implementó un código QR vinculado a una plataforma digital para registrar las inspecciones de escaleras de forma electrónica y Reduce el consumo de papel e impresión, disminuyendo costos y apoyando el cuidado del medio ambiente.</t>
  </si>
  <si>
    <t xml:space="preserve">Fernando Rodriguez Garcia</t>
  </si>
  <si>
    <t xml:space="preserve">3040837</t>
  </si>
  <si>
    <t xml:space="preserve">Nestor Estrada</t>
  </si>
  <si>
    <t xml:space="preserve">Se dañaba frecuentemente el conector de la prueba de luz por lo cual cada que se dañaba se tenia que mandar comprar uno con proveedores locales el cual el costo era un poco alto.</t>
  </si>
  <si>
    <t xml:space="preserve">Se mando dibujar y fabricar en tooling en el cual se realizo una mejora en el area donde conecta los pines para cuando se nos dañe solamente se cambien las puntas y no todo el conector.</t>
  </si>
  <si>
    <t xml:space="preserve">Jose Ignacio Arias Palacios</t>
  </si>
  <si>
    <t xml:space="preserve">FM-MOP-0023-DR Formato de Kaizen -R1_Jose Ignacio Arias P.xlsx</t>
  </si>
  <si>
    <t xml:space="preserve">3044346</t>
  </si>
  <si>
    <t xml:space="preserve">2026-08-25</t>
  </si>
  <si>
    <t xml:space="preserve">Luis Gerardo Rivera Salazar</t>
  </si>
  <si>
    <t xml:space="preserve">Paros constantes de líneas en planta 8 por falta de control de subensambles de codo, vanity y tela cortada</t>
  </si>
  <si>
    <t xml:space="preserve">Se crea locación de "Elbow Subassembly" para fabricar mediante órdenes de trabajo (Job) y se genera formato para control de seguimiento a programas de subensambles</t>
  </si>
  <si>
    <t xml:space="preserve">KAIZEN AGOSTO ENSAMBLE  2026_Ensamble Produccion.xlsx</t>
  </si>
  <si>
    <t xml:space="preserve">1680380</t>
  </si>
  <si>
    <t xml:space="preserve">2026-08-20</t>
  </si>
  <si>
    <t xml:space="preserve">Ensamble incorrecto del carrier, colocandose de forma invertida y provocando luz inoperante y que la pieza no haga detent.</t>
  </si>
  <si>
    <t xml:space="preserve">Instalacion de camara para verifcar la correcta posicion del carrier.</t>
  </si>
  <si>
    <t xml:space="preserve">Ahorro $;Eficiencia</t>
  </si>
  <si>
    <t xml:space="preserve">KAIZEN CALIDAD ENSAMBLE - PLANTA 1 - AGOSTO 2_Diego Valencia Alcaz.xlsx</t>
  </si>
  <si>
    <t xml:space="preserve">2026-08-27</t>
  </si>
  <si>
    <t xml:space="preserve">Exceso de cortes de excedentes en mesas de forrado door upper rivian</t>
  </si>
  <si>
    <t xml:space="preserve">se hacen perforaciones a las mesas de forrado para que el operador tiren los ecxesos por los orificios</t>
  </si>
  <si>
    <t xml:space="preserve">Tiempo Muerto;5S's</t>
  </si>
  <si>
    <t xml:space="preserve">Kaizen manufactura mes agosto_Erik Ovalle.xlsx</t>
  </si>
  <si>
    <t xml:space="preserve">Gerardo del Angel Zarate</t>
  </si>
  <si>
    <t xml:space="preserve">Se detectó un alto consumo y desperdicio de conos desechables para tomar agua. Los conos eran colocados directamente sobre los dispensadores de agua, lo que provocaba que algunos se cayeran, se utilizaran de manera innecesaria o fueran desechados sin haber sido utilizados.</t>
  </si>
  <si>
    <t xml:space="preserve">Se instalaron porta conos en los dispensadores de agua para establecer un punto de almacenamiento y suministro controlado. Las actividades incluyeron identificar los puntos con mayor desperdicio, definir la cantidad de porta conos necesarios, realizar su instalación, abastecerlos, comunicar su correcto uso y dar seguimiento al consumo de conos para verificar la efectividad de la mejora.</t>
  </si>
  <si>
    <t xml:space="preserve">Ahorro $;5S's;Medio Ambiente</t>
  </si>
  <si>
    <t xml:space="preserve">FM-MOP-0023-DR Formato de Kaizen -R3 AGOSTO_Monica Arcelia Sifue.xlsx</t>
  </si>
  <si>
    <t xml:space="preserve">3026520</t>
  </si>
  <si>
    <t xml:space="preserve">2026-08-28</t>
  </si>
  <si>
    <t xml:space="preserve">5S</t>
  </si>
  <si>
    <t xml:space="preserve">Alcance dudoso: rack de termos, beneficio de servicio más que de proceso</t>
  </si>
  <si>
    <t xml:space="preserve">Rack de termos</t>
  </si>
  <si>
    <t xml:space="preserve">Rack para colocar termos de personal operativo</t>
  </si>
  <si>
    <t xml:space="preserve">5S's</t>
  </si>
  <si>
    <t xml:space="preserve">Kaizen lanzamientos-Agosto_Citlalli Ozuna.xlsx</t>
  </si>
  <si>
    <t xml:space="preserve">Convertido de 37,915.84 USD a MXN @ 17 (su formato declara USD).</t>
  </si>
  <si>
    <t xml:space="preserve">Cambio de proveedor externo para foam C300 a manufacturado en planta 7</t>
  </si>
  <si>
    <t xml:space="preserve">Ahorro anual de $37915.84 USD</t>
  </si>
  <si>
    <t xml:space="preserve">FM-MOP-0023-DR Formato de Kaizen -R3 Cambio d_Ricardo Mendoza Hern 1.xlsx</t>
  </si>
  <si>
    <t xml:space="preserve">EN PLANTA PARRAS NO SE CUENTA CON RECICLADO DE PLASTICOS POR LO QUE SE IMPLEMENTA PARA LA REDUCCION DE COSTOS</t>
  </si>
  <si>
    <t xml:space="preserve">REDUCCION DE BASURA GENERAL Y REDUCCION DE COSTOS DE DISPOSICION</t>
  </si>
  <si>
    <t xml:space="preserve">Ahorro $;Scrap;Medio Ambiente</t>
  </si>
  <si>
    <t xml:space="preserve">KAIZEN AGOSTO_Daniel Alejandro Par.xlsx</t>
  </si>
  <si>
    <t xml:space="preserve">2026-08-01</t>
  </si>
  <si>
    <t xml:space="preserve">Hugo Alcalá</t>
  </si>
  <si>
    <t xml:space="preserve">El área de inspección contaba con mesas de trabajo considerablemente desgastadas y con un diseño poco funcional.</t>
  </si>
  <si>
    <t xml:space="preserve">Se diseñaron e instalaron nuevas mesas de inspección ergonómicas y funcionales, incorporando espacios destinados para colocar y mantener visibles las piezas master y primeras piezas.</t>
  </si>
  <si>
    <t xml:space="preserve">Brandon Ramon Cano Resendez</t>
  </si>
  <si>
    <t xml:space="preserve">Eficiecia;FTQ;5S's;Tiempo Muerto;Scrap</t>
  </si>
  <si>
    <t xml:space="preserve">FM-MOP-0023-DR Formato de Kaizen Calidad_Brandon Ramon Cano R.xlsx</t>
  </si>
  <si>
    <t xml:space="preserve">3056806</t>
  </si>
  <si>
    <t xml:space="preserve">Fernando Gonzalez Delgado</t>
  </si>
  <si>
    <t xml:space="preserve">La incorrecta identificación de defectos en rollos de foam por parte de proveedor, hacia que la gente de producción del área de corte tuviera muchas fugas de cortes con defectos al área de ensamble Rivian</t>
  </si>
  <si>
    <t xml:space="preserve">Mejora en la identificación de defectos de proveedor para evitar escapes al área de ensamble</t>
  </si>
  <si>
    <t xml:space="preserve">Fernando Gonzalez</t>
  </si>
  <si>
    <t xml:space="preserve">Calidad - P3y4 - Agosto_Fernando Gonzalez.xlsx</t>
  </si>
  <si>
    <t xml:space="preserve">3054279</t>
  </si>
  <si>
    <t xml:space="preserve">2026-08-19</t>
  </si>
  <si>
    <t xml:space="preserve">COSTO ALTO EN RUTA DE FLEXTRONICS</t>
  </si>
  <si>
    <t xml:space="preserve">Ahorro $;Eficiecia</t>
  </si>
  <si>
    <t xml:space="preserve">FM-MOP-0023-DR Formato de Kaizen -R3 1 LOGIST_Tania Alejandra Lira 2.xlsx</t>
  </si>
  <si>
    <t xml:space="preserve">Condición de riesgo y paros de línea por desborde de agua caliente de condensados en área OPAL A</t>
  </si>
  <si>
    <t xml:space="preserve">Automatización del desalojo de condensados mediante tanque pulmón y sistema de bombeo.</t>
  </si>
  <si>
    <t xml:space="preserve">Ahorro $;Eficiecia;Tiempo Muerto;FTQ;5S's;Medio Ambiente;Seguridad</t>
  </si>
  <si>
    <t xml:space="preserve">Kaizen_Mtto_AGO_2026 Mejora_Felipe Angel Guerrer.xlsx</t>
  </si>
  <si>
    <t xml:space="preserve">Instalación de guarda de acrílico de seguridad en prensa doble</t>
  </si>
  <si>
    <t xml:space="preserve">Instalación de guardas fijas de policarbonato/acrílico de alto impacto en el perímetro frontal y lateral de la máquina de doble prensa</t>
  </si>
  <si>
    <t xml:space="preserve">Eficiecia;Tiempo Muerto;5S's;Medio Ambiente;Seguridad</t>
  </si>
  <si>
    <t xml:space="preserve">Kaizen_Mtto_AGO_Seguridad_2026_Felipe Angel Guerrer.xlsx</t>
  </si>
  <si>
    <t xml:space="preserve">Rafael Rodriguez</t>
  </si>
  <si>
    <t xml:space="preserve">Se encuentra área de oportunidad en la detección de arandela de componente back panel, donde se requiere asegurar que esta se instala correctamente</t>
  </si>
  <si>
    <t xml:space="preserve">Se instalan sensores de presencia para detectar que a la hora de hacer el proceso en maquina de soldadura estén presentes dichas arandelas</t>
  </si>
  <si>
    <t xml:space="preserve">FM-MOP-0023-DR Formato de Kaizen AGOSTO_Karla Guadalupe Padi.xlsx</t>
  </si>
  <si>
    <t xml:space="preserve">3024118</t>
  </si>
  <si>
    <t xml:space="preserve">2026-08-31</t>
  </si>
  <si>
    <t xml:space="preserve">Raw Material mezclado en linea de produccion</t>
  </si>
  <si>
    <t xml:space="preserve">Instalacion de Rack para Raw Material</t>
  </si>
  <si>
    <t xml:space="preserve">8. Kaizen_Produccion_Agosto_2026_Hector Jaziel Martin.xlsx</t>
  </si>
  <si>
    <t xml:space="preserve">Tomacorriente sin ayuda visual</t>
  </si>
  <si>
    <t xml:space="preserve">Se agrega ayuda visual y se retoralimenta al personal sobre el riesgo electrico</t>
  </si>
  <si>
    <t xml:space="preserve">8. Kaizen_Produccion_Seguridad_Agosto_2026_Hector Jaziel Martin.xlsx</t>
  </si>
  <si>
    <t xml:space="preserve">2026-09-15</t>
  </si>
  <si>
    <t xml:space="preserve">2026-09</t>
  </si>
  <si>
    <t xml:space="preserve">Fannie Aguilar</t>
  </si>
  <si>
    <t xml:space="preserve">Convertido de 12,260.00 USD a MXN @ 17 (su formato declara USD).</t>
  </si>
  <si>
    <t xml:space="preserve">El arnés del programa Ford CD9 tiene un costo actual de $6.73 USD por pieza con el proveedor EDS, generando una oportunidad de reducción de costo.</t>
  </si>
  <si>
    <t xml:space="preserve">Se desarrolló una fuente alternativa en China, validada para el programa, con un costo de $0.60 USD por pieza, generando un ahorro de $6.13 USD por pieza.</t>
  </si>
  <si>
    <t xml:space="preserve">FM-MOP-0023-DR Formato de Kaizen -R3 (_Fannie Grettelle Agu.xlsx</t>
  </si>
  <si>
    <t xml:space="preserve">3053215</t>
  </si>
  <si>
    <t xml:space="preserve">2026-08-15</t>
  </si>
  <si>
    <t xml:space="preserve">Carlos Mendez</t>
  </si>
  <si>
    <t xml:space="preserve">En DOCK AUDIT no se tenia un flujo establecido, generando mezclas de material liberado y material por inspeccionar</t>
  </si>
  <si>
    <t xml:space="preserve">Se definieron carriles identificados por color</t>
  </si>
  <si>
    <t xml:space="preserve">Eficiecia;Tiempo Muerto</t>
  </si>
  <si>
    <t xml:space="preserve">08_29_Kaizen_Flujo de Dock Audit_Carlos_Mende_Fernanda Monserrath.xlsx</t>
  </si>
  <si>
    <t xml:space="preserve">3067207</t>
  </si>
  <si>
    <t xml:space="preserve">Francisco Daniel Charles Sanchez</t>
  </si>
  <si>
    <t xml:space="preserve">Alta frecuencia de recolecciones con bajos volúmenes, debido a una falta de consolidación y planeación logística, lo que incrementaba los costos de transporte y genera ineficiencias operativas.</t>
  </si>
  <si>
    <t xml:space="preserve">Consolidar embarques y optimizar la programación de recolecciones para reducir la frecuencia, maximizar los volúmenes por embarque y disminuir los costos de transporte.</t>
  </si>
  <si>
    <t xml:space="preserve">FM-MOP-0023-DR Formato de Kaizen -R3 - Reducc_Francisco Daniel Cha.xlsx</t>
  </si>
  <si>
    <t xml:space="preserve">3062322</t>
  </si>
  <si>
    <t xml:space="preserve">Frame  BMW - G64 presenta ruido por falta de grasa</t>
  </si>
  <si>
    <t xml:space="preserve">Instalación de un sensor para alertar en caso de falta de grasa; la máquina se detiene automáticamente hasta que se rellena el dispensador.</t>
  </si>
  <si>
    <t xml:space="preserve">Salome Dominguez</t>
  </si>
  <si>
    <t xml:space="preserve">FM-MOP-0023-DR Formato de Kaizen -R3_Salome Dominguez.xlsx</t>
  </si>
  <si>
    <t xml:space="preserve">2026-09-07</t>
  </si>
  <si>
    <t xml:space="preserve">Deficiencia en tiempos y movimientos</t>
  </si>
  <si>
    <t xml:space="preserve">Colocar apartado para colocar vyniles</t>
  </si>
  <si>
    <t xml:space="preserve">Eficiecia</t>
  </si>
  <si>
    <t xml:space="preserve">kaizen MC_Guillermo Garcia.xlsx</t>
  </si>
  <si>
    <t xml:space="preserve">Mala posicion de fixture de alineado</t>
  </si>
  <si>
    <t xml:space="preserve">Modificar la posicion del fixture de alienado para mejorar la ergonomia</t>
  </si>
  <si>
    <t xml:space="preserve">Kaizen S_Guillermo Garcia.xlsx</t>
  </si>
  <si>
    <t xml:space="preserve">2026-09-28</t>
  </si>
  <si>
    <t xml:space="preserve">Mauricio Ramirez</t>
  </si>
  <si>
    <t xml:space="preserve">NUEVO (N01): líder tomado del archivo (implementador). Beneficios vacíos; actividades copiadas de otra plantilla</t>
  </si>
  <si>
    <t xml:space="preserve">Ayuda visual de atrapamiento en prensas de tela</t>
  </si>
  <si>
    <t xml:space="preserve">9. Kaizen_Produccion_Seguridad_Septiembre_202_Hector Jaziel Martin.xlsx</t>
  </si>
  <si>
    <t xml:space="preserve">NUEVO (N02): líder tomado del archivo (implementador). Sin datos antes/después</t>
  </si>
  <si>
    <t xml:space="preserve">Pokayoke de posición de pieza en prensas (Frame)</t>
  </si>
  <si>
    <t xml:space="preserve">9. Kaizen_Produccion_Septiembre_2026_Hector Jaziel Martin.xlsx</t>
  </si>
  <si>
    <t xml:space="preserve">2026-09-21</t>
  </si>
  <si>
    <t xml:space="preserve">Diego Briones</t>
  </si>
  <si>
    <t xml:space="preserve">NUEVO (N04): líder tomado del archivo (implementador). +250% sin evidencia del método; sin firma de supervisor</t>
  </si>
  <si>
    <t xml:space="preserve">Incremento de 100 a 350 pzs/turno (PIP)</t>
  </si>
  <si>
    <t xml:space="preserve">FM-MOP-0023-DR Formato de Kaizen -R3 - SEP_Eduardo Morales Rodr.xlsx</t>
  </si>
  <si>
    <t xml:space="preserve">2026-10-01</t>
  </si>
  <si>
    <t xml:space="preserve">2026-10</t>
  </si>
  <si>
    <t xml:space="preserve">NUEVO (N06): líder tomado del archivo (implementador). Implementado en octubre</t>
  </si>
  <si>
    <t xml:space="preserve">Guarda para grapadora</t>
  </si>
  <si>
    <t xml:space="preserve">FM-MOP-0023-DR Formato de Kaizen -R3 Octubre_Omar Alejandro Alvar.xlsx</t>
  </si>
  <si>
    <t xml:space="preserve">2026-09-22</t>
  </si>
  <si>
    <t xml:space="preserve">Arturo Perez</t>
  </si>
  <si>
    <t xml:space="preserve">NUEVO (N08): líder tomado del archivo (implementador). Sin ahorro monetizado</t>
  </si>
  <si>
    <t xml:space="preserve">Rebabeadores: retrabajo 36 → 2</t>
  </si>
  <si>
    <t xml:space="preserve">FM-MOP-0023-DR Formato de Kaizen -R3 prov (re_Anayeli Rivera.xlsx</t>
  </si>
  <si>
    <t xml:space="preserve">2026-09-30</t>
  </si>
  <si>
    <t xml:space="preserve">Manuel Boone</t>
  </si>
  <si>
    <t xml:space="preserve">NUEVO (N10): líder tomado del archivo (implementador). Beneficio cualitativo</t>
  </si>
  <si>
    <t xml:space="preserve">Referencia en costura de elástico en toe kick</t>
  </si>
  <si>
    <t xml:space="preserve">Isaac Arambulo</t>
  </si>
  <si>
    <t xml:space="preserve">FM-MOP-0023-DR Formato de Kaizen -R3. Septiem_Isaac Arambulo.xlsx</t>
  </si>
  <si>
    <t xml:space="preserve">2026-09-26</t>
  </si>
  <si>
    <t xml:space="preserve">Juan Medrano</t>
  </si>
  <si>
    <t xml:space="preserve">NUEVO (N11): líder tomado del archivo (implementador). Beneficios sin cifras</t>
  </si>
  <si>
    <t xml:space="preserve">Empaque planta 4 (lugar asignado para cartón)</t>
  </si>
  <si>
    <t xml:space="preserve">Jorge Antonio Zertuche</t>
  </si>
  <si>
    <t xml:space="preserve">FM-MOP-0023-DR Formato de Kaizen -R3_Jorge Antonio Zertuc.xlsx</t>
  </si>
  <si>
    <t xml:space="preserve">NUEVO (N12): líder tomado del archivo (implementador). Cumplimiento NOM-005/002 STPS; depto y líder por confirmar</t>
  </si>
  <si>
    <t xml:space="preserve">Lavaojos y extintor en cuarto de batería</t>
  </si>
  <si>
    <t xml:space="preserve">FM-MOP-0023-DR Formato de Kaizen -sep_Fernando Rodriguez G.xlsx</t>
  </si>
  <si>
    <t xml:space="preserve">2026-09-23</t>
  </si>
  <si>
    <t xml:space="preserve">Angel Juarez</t>
  </si>
  <si>
    <t xml:space="preserve">NUEVO (N14): líder tomado del archivo (implementador). Ahorro declarado 19,580 USD sin validar; periodo no declarado; Rafael Rodríguez sugirió la idea</t>
  </si>
  <si>
    <t xml:space="preserve">Pokayoke bracket Rivian HL</t>
  </si>
  <si>
    <t xml:space="preserve">Karla Guadalupe Padilla</t>
  </si>
  <si>
    <t xml:space="preserve">FM-MOP-0023-DR Formato de Kaizen Septiembre_Karla Guadalupe Padi.xlsx</t>
  </si>
  <si>
    <t xml:space="preserve">2026-09-25</t>
  </si>
  <si>
    <t xml:space="preserve">Christian Uziel Escobedo Peña</t>
  </si>
  <si>
    <t xml:space="preserve">NUEVO (N16): líder tomado del archivo (implementador). Sin costo</t>
  </si>
  <si>
    <t xml:space="preserve">Dispositivo de inspección Notch T1XX</t>
  </si>
  <si>
    <t xml:space="preserve">Formato de Kaizen Manufactura P6  28-09-2026_Christian Escobedo.xlsx</t>
  </si>
  <si>
    <t xml:space="preserve">NUEVO (N17): líder tomado del archivo (implementador). Inicio 29-ago; sin cifras</t>
  </si>
  <si>
    <t xml:space="preserve">Elevar altura de dispositivo de frame T1XX RR</t>
  </si>
  <si>
    <t xml:space="preserve">Hector Velasco Velasco</t>
  </si>
  <si>
    <t xml:space="preserve">Ergonomía</t>
  </si>
  <si>
    <t xml:space="preserve">Formato de Kaizen Manufactura P6_Hector Velasco Velas.xlsx</t>
  </si>
  <si>
    <t xml:space="preserve">Carlos Rodriguez</t>
  </si>
  <si>
    <t xml:space="preserve">NUEVO (N18): líder tomado del archivo (implementador). Ahorro declarado 27,114 USD sin validar; periodo no declarado; Isaac Olvera sugirió</t>
  </si>
  <si>
    <t xml:space="preserve">Parámetros óptimos de laminado (DOE)</t>
  </si>
  <si>
    <t xml:space="preserve">Fernanda Monserrath</t>
  </si>
  <si>
    <t xml:space="preserve">KAIZEN -Definicion de parametros de proceso d_Fernanda Monserrath.xlsx</t>
  </si>
  <si>
    <t xml:space="preserve">NUEVO (N19): líder tomado del archivo (implementador). Alcance por confirmar</t>
  </si>
  <si>
    <t xml:space="preserve">Eficiencia del sistema contra incendios</t>
  </si>
  <si>
    <t xml:space="preserve">KAIZEN SEPTIEMBRE_Daniel Alejandro Par.xlsx</t>
  </si>
  <si>
    <t xml:space="preserve">NUEVO (N20): líder tomado del archivo (implementador).</t>
  </si>
  <si>
    <t xml:space="preserve">Control maestro de alertas de calidad (25 → 5 min)</t>
  </si>
  <si>
    <t xml:space="preserve">KAIZEN_Control Maestro ALERTAS DE CALIDAD_Jose Carlos Herrera.xlsx</t>
  </si>
  <si>
    <t xml:space="preserve">Mario Alvarado</t>
  </si>
  <si>
    <t xml:space="preserve">NUEVO (N21): líder tomado del archivo (implementador). Sin cifras</t>
  </si>
  <si>
    <t xml:space="preserve">Prevención de daños al inyector</t>
  </si>
  <si>
    <t xml:space="preserve">Cyntia Guadalupe Vaz</t>
  </si>
  <si>
    <t xml:space="preserve">Kaizen - Mario Alvarado - Sep._Cyntia Guadalupe Vaz.xlsx</t>
  </si>
  <si>
    <t xml:space="preserve">2026-09-13</t>
  </si>
  <si>
    <t xml:space="preserve">NUEVO (N23): líder tomado del archivo (implementador). Planta supuesta (mismo implementador que IDs 8 y 68)</t>
  </si>
  <si>
    <t xml:space="preserve">Dispositivo de funcionalidad</t>
  </si>
  <si>
    <t xml:space="preserve">Kaizen_LAUNCH_SEPTIEMBRE_2026_Francisco Hernandez.xlsx</t>
  </si>
  <si>
    <t xml:space="preserve">Gabriel Jaramillo Banda</t>
  </si>
  <si>
    <t xml:space="preserve">NUEVO (N25): líder tomado del archivo (implementador). Alcance por confirmar</t>
  </si>
  <si>
    <t xml:space="preserve">Rediseño del sistema de guardas</t>
  </si>
  <si>
    <t xml:space="preserve">Kaizen_Mtto_SEP_2026 Seguridad_Felipe Angel Guerrer.xlsx</t>
  </si>
  <si>
    <t xml:space="preserve">2026-09-19</t>
  </si>
  <si>
    <t xml:space="preserve">Ariana Diaz Cerbero</t>
  </si>
  <si>
    <t xml:space="preserve">NUEVO (N29): líder tomado del archivo (implementador). Ahorro 9,942 declarado, periodo no declarado; implementador figura como 'DM CONTROL'</t>
  </si>
  <si>
    <t xml:space="preserve">Reducción de rutas de fin de semana (18 → 15)</t>
  </si>
  <si>
    <t xml:space="preserve">Monica Arcelia Sifuentes</t>
  </si>
  <si>
    <t xml:space="preserve">Septiembre FM-MOP-0023-DR Formato de Kaizen -_Monica Arcelia Sifue.xlsx</t>
  </si>
  <si>
    <t xml:space="preserve">2026-09-29</t>
  </si>
  <si>
    <t xml:space="preserve">Yadira Gonzalez</t>
  </si>
  <si>
    <t xml:space="preserve">NUEVO (N34): líder tomado del archivo (implementador). Aún no agregado a ODS</t>
  </si>
  <si>
    <t xml:space="preserve">Ayuda visual de corte homologado de tela</t>
  </si>
  <si>
    <t xml:space="preserve">KAIZEN SEMPTIEMBRE  ENSAMBLE  2026_Ensamble Produccion.xlsx</t>
  </si>
  <si>
    <t xml:space="preserve">Manuel Lara</t>
  </si>
  <si>
    <t xml:space="preserve">NUEVO (N36): líder tomado del archivo (implementador). Beneficio 72-200 mil (rango), costo 100,000; actividades fechadas en enero</t>
  </si>
  <si>
    <t xml:space="preserve">Eliminación de nube de cera con extractores (PIP/Foam)</t>
  </si>
  <si>
    <t xml:space="preserve">Adrian Rodriguez</t>
  </si>
  <si>
    <t xml:space="preserve">FM-MOP-0023-DR Formato de Kaizen - Eliminacio_Jorge Tavitas.pdf</t>
  </si>
  <si>
    <t xml:space="preserve">Aldo Romon</t>
  </si>
  <si>
    <t xml:space="preserve">NUEVO (N03) — DUDOSO: fecha de agosto (otra celda dice 9-jul)</t>
  </si>
  <si>
    <t xml:space="preserve">Onboarding de nuevo ingreso nivel operativo</t>
  </si>
  <si>
    <t xml:space="preserve">Copy of FM-MOP-0023-DR Formato de Kaizen -AGO_Ruben Alejandro Sill.xlsx</t>
  </si>
  <si>
    <t xml:space="preserve">Jesús Guajardo</t>
  </si>
  <si>
    <t xml:space="preserve">NUEVO (N05) — DUDOSO: fecha 'Julio' (día asumido); 14,400 USD/año en texto vs 1,200 MXN/3 meses en tabla; planta asumida</t>
  </si>
  <si>
    <t xml:space="preserve">Ahorro ruta Puerto de Altamira</t>
  </si>
  <si>
    <t xml:space="preserve">FM-MOP-0023-DR Formato de Kaizen -R3 1 LOGIST_Tania Alejandra Lira 3.xlsx</t>
  </si>
  <si>
    <t xml:space="preserve">NUEVO (N07) — DUDOSO: sin fecha en el archivo (se asumió fin de sept.)</t>
  </si>
  <si>
    <t xml:space="preserve">Tapete dieléctrico para tableros eléctricos</t>
  </si>
  <si>
    <t xml:space="preserve">FM-MOP-0023-DR Formato de Kaizen -R3 Sept EHS_Saul Antonio Gallego.xlsx</t>
  </si>
  <si>
    <t xml:space="preserve">Luis Veloz Neri</t>
  </si>
  <si>
    <t xml:space="preserve">NUEVO (N09) — DUDOSO: sin fecha en el archivo (se asumió fin de sept.)</t>
  </si>
  <si>
    <t xml:space="preserve">Ubicaciones de material en planta (10 → 6 min)</t>
  </si>
  <si>
    <t xml:space="preserve">Luis Manuel Veloz Neri</t>
  </si>
  <si>
    <t xml:space="preserve">FM-MOP-0023-DR Formato de Kaizen -R3-Material_Luis Manuel Veloz Ne.xlsx</t>
  </si>
  <si>
    <t xml:space="preserve">2026-01-02</t>
  </si>
  <si>
    <t xml:space="preserve">2026-01</t>
  </si>
  <si>
    <t xml:space="preserve">Guadalupe Arriaga</t>
  </si>
  <si>
    <t xml:space="preserve">NUEVO (N22) — DUDOSO: fecha 2-ene-2026 (¿error de captura?)</t>
  </si>
  <si>
    <t xml:space="preserve">Confiabilidad en inventario (40 → 10 min)</t>
  </si>
  <si>
    <t xml:space="preserve">Kaizen Materiales Septiembre_Guadalupe Arriaga.xlsx</t>
  </si>
  <si>
    <t xml:space="preserve">2026-09-01</t>
  </si>
  <si>
    <t xml:space="preserve">Giovani Hernández</t>
  </si>
  <si>
    <t xml:space="preserve">NUEVO (N26) — DUDOSO: fechas 30-jun/1-sep; ahorro sin unidad</t>
  </si>
  <si>
    <t xml:space="preserve">Ahorro de costos (14,000 sin moneda ni periodo)</t>
  </si>
  <si>
    <t xml:space="preserve">Giovani Hernández Torres</t>
  </si>
  <si>
    <t xml:space="preserve">Materiales-Planta 2-SEP-2026 Materiales-Plant_Giovani Hernandez To.xlsx</t>
  </si>
  <si>
    <t xml:space="preserve">2026-05-09</t>
  </si>
  <si>
    <t xml:space="preserve">Isai Tostado</t>
  </si>
  <si>
    <t xml:space="preserve">NUEVO (N27) — DUDOSO: fecha 9-may; '115→120' vs '+30%' no cuadra</t>
  </si>
  <si>
    <t xml:space="preserve">Herramental para toma de piezas (Moldeo)</t>
  </si>
  <si>
    <t xml:space="preserve">Mtto moldeo 2026_Mariana Valencia.xlsx</t>
  </si>
  <si>
    <t xml:space="preserve">2026-01-04</t>
  </si>
  <si>
    <t xml:space="preserve">NUEVO (N28) — DUDOSO: fechas 2-4 ene 2026; ahorro en piezas, sin MXN</t>
  </si>
  <si>
    <t xml:space="preserve">Arranque de almacén MRO</t>
  </si>
  <si>
    <t xml:space="preserve">NUEVO FM-MOP-0023-DR Formato de Kaizen -R3 -_Karina Guadalupe Flo.xlsx</t>
  </si>
  <si>
    <t xml:space="preserve">2026-09-05</t>
  </si>
  <si>
    <t xml:space="preserve">Ricardo Perales</t>
  </si>
  <si>
    <t xml:space="preserve">Por confirmar</t>
  </si>
  <si>
    <t xml:space="preserve">NUEVO (N30) — PLANTA POR CONFIRMAR; '2,800 por pieza' sin periodo</t>
  </si>
  <si>
    <t xml:space="preserve">Nidos nuevos en acero Toolox 44 (RF-07 LH)</t>
  </si>
  <si>
    <t xml:space="preserve">José Ignacio Arias</t>
  </si>
  <si>
    <t xml:space="preserve">FM-MOP-0023-DR Formato de Kaizen -R1_Jose Ignacio Arias P 1.xlsx</t>
  </si>
  <si>
    <t xml:space="preserve">Diana Esthela Ramos Martínez</t>
  </si>
  <si>
    <t xml:space="preserve">NUEVO (N31) — DUDOSO: hoja oculta, fecha 18-jun; PLANTA POR CONFIRMAR</t>
  </si>
  <si>
    <t xml:space="preserve">Mesas de planchado (hoja oculta)</t>
  </si>
  <si>
    <t xml:space="preserve">Mariana Rangel</t>
  </si>
  <si>
    <t xml:space="preserve">FORMATO DE KAIZEN SEGURIDAD  (1)_Mariana Rangel Alman.xlsx</t>
  </si>
  <si>
    <t xml:space="preserve">NUEVO (N32) — DUDOSO: hoja oculta, fecha 18-jun; PLANTA POR CONFIRMAR</t>
  </si>
  <si>
    <t xml:space="preserve">Claxon y señalización para patines (hoja oculta)</t>
  </si>
  <si>
    <t xml:space="preserve">NUEVO (N33) — PLANTA POR CONFIRMAR; sin firmas</t>
  </si>
  <si>
    <t xml:space="preserve">Manejo de químico: resguardo en gabinete</t>
  </si>
  <si>
    <t xml:space="preserve">Alfonso Rosales</t>
  </si>
  <si>
    <t xml:space="preserve">NUEVO (N35) — PLANTA POR CONFIRMAR</t>
  </si>
  <si>
    <t xml:space="preserve">Racks por frecuencia de uso</t>
  </si>
  <si>
    <t xml:space="preserve">Alfonso Isaac Rosales</t>
  </si>
  <si>
    <t xml:space="preserve">Kaizen Septiembre_Alfonso Isaac Rosale.xlsx</t>
  </si>
  <si>
    <t xml:space="preserve">Nota: el ID 1 (fondo rojo) es un registro de prueba del administrador y no debe contar.</t>
  </si>
  <si>
    <t xml:space="preserve">RESUMEN — abril a septiembre 2026</t>
  </si>
  <si>
    <t xml:space="preserve">Todas las cifras son fórmulas sobre la hoja Evaluación. Excluye el ID 1 (prueba).</t>
  </si>
  <si>
    <t xml:space="preserve">POR PLANTA</t>
  </si>
  <si>
    <t xml:space="preserve">Kaizen</t>
  </si>
  <si>
    <t xml:space="preserve">DaiPuntos</t>
  </si>
  <si>
    <t xml:space="preserve">Promedio</t>
  </si>
  <si>
    <t xml:space="preserve">Meta anual*</t>
  </si>
  <si>
    <t xml:space="preserve">% meta</t>
  </si>
  <si>
    <t xml:space="preserve">Planta 8</t>
  </si>
  <si>
    <t xml:space="preserve">* Meta anual por planta = 420 Kaizen/año de la red entre 6 sitios. Ritmo real jun-ago: 29/mes.</t>
  </si>
  <si>
    <t xml:space="preserve">POR MES</t>
  </si>
  <si>
    <t xml:space="preserve">Meta mensual</t>
  </si>
  <si>
    <t xml:space="preserve">Septiembre está incompleto (datos al 24-sep).</t>
  </si>
  <si>
    <t xml:space="preserve">POR DEPARTAMENTO (toda la red)</t>
  </si>
  <si>
    <t xml:space="preserve">Meta anual**</t>
  </si>
  <si>
    <t xml:space="preserve">** 6 sitios × 12 meses = 72 al año por departamento si participaran los 6.</t>
  </si>
  <si>
    <t xml:space="preserve">AUDITORÍA DE LOS 91 FORMATOS FM-MOP-0023-DR</t>
  </si>
  <si>
    <t xml:space="preserve">RESUMEN</t>
  </si>
  <si>
    <t xml:space="preserve">A. Cuantificado en $ (tiene (B) Beneficio o Ahorro al año)</t>
  </si>
  <si>
    <t xml:space="preserve">B. Con números en Antes/Después pero sin total en $</t>
  </si>
  <si>
    <t xml:space="preserve">C. Solo descripción de texto, cero números</t>
  </si>
  <si>
    <t xml:space="preserve">D. Tabla de beneficio completamente vacía</t>
  </si>
  <si>
    <t xml:space="preserve">Formatos que NO marcaron el estatus (Implementada/Aprobada/…)</t>
  </si>
  <si>
    <t xml:space="preserve">Formatos que NO marcaron '¿Se puede implementar en otra área?'</t>
  </si>
  <si>
    <t xml:space="preserve">Formatos con (B) Beneficio $ numérico</t>
  </si>
  <si>
    <t xml:space="preserve">Formatos con 'Ahorro al año' lleno</t>
  </si>
  <si>
    <t xml:space="preserve">DETALLE POR KAIZEN</t>
  </si>
  <si>
    <t xml:space="preserve">Persona</t>
  </si>
  <si>
    <t xml:space="preserve">Clase</t>
  </si>
  <si>
    <t xml:space="preserve">(B) Benef.</t>
  </si>
  <si>
    <t xml:space="preserve">(C) Costo</t>
  </si>
  <si>
    <t xml:space="preserve">Unidad declarada</t>
  </si>
  <si>
    <t xml:space="preserve">Estatus</t>
  </si>
  <si>
    <t xml:space="preserve">Expansión</t>
  </si>
  <si>
    <t xml:space="preserve">¿Dónde?</t>
  </si>
  <si>
    <t xml:space="preserve">Archivo</t>
  </si>
  <si>
    <t xml:space="preserve">A. Cuantificado en $</t>
  </si>
  <si>
    <t xml:space="preserve">MXN</t>
  </si>
  <si>
    <t xml:space="preserve">— sin marcar</t>
  </si>
  <si>
    <t xml:space="preserve">—</t>
  </si>
  <si>
    <t xml:space="preserve">Evento</t>
  </si>
  <si>
    <t xml:space="preserve">Area de Compras Indirectas</t>
  </si>
  <si>
    <t xml:space="preserve">Total</t>
  </si>
  <si>
    <t xml:space="preserve">Area de UPPER </t>
  </si>
  <si>
    <t xml:space="preserve">HRS</t>
  </si>
  <si>
    <t xml:space="preserve">NO</t>
  </si>
  <si>
    <t xml:space="preserve">7920.0</t>
  </si>
  <si>
    <t xml:space="preserve">%</t>
  </si>
  <si>
    <t xml:space="preserve">Procesos donde 
aplique grasa</t>
  </si>
  <si>
    <t xml:space="preserve">USD</t>
  </si>
  <si>
    <t xml:space="preserve">1.0</t>
  </si>
  <si>
    <t xml:space="preserve">USD/ Pza</t>
  </si>
  <si>
    <t xml:space="preserve">B. Números sin total en $</t>
  </si>
  <si>
    <t xml:space="preserve">Rutas</t>
  </si>
  <si>
    <t xml:space="preserve">$</t>
  </si>
  <si>
    <t xml:space="preserve">Cartonera P7</t>
  </si>
  <si>
    <t xml:space="preserve">N/A</t>
  </si>
  <si>
    <t xml:space="preserve">SI</t>
  </si>
  <si>
    <t xml:space="preserve">Seg.</t>
  </si>
  <si>
    <t xml:space="preserve">KM</t>
  </si>
  <si>
    <t xml:space="preserve">3.66</t>
  </si>
  <si>
    <t xml:space="preserve">Frame SUV</t>
  </si>
  <si>
    <t xml:space="preserve">307.0539419087137</t>
  </si>
  <si>
    <t xml:space="preserve">Segundos </t>
  </si>
  <si>
    <t xml:space="preserve">EA</t>
  </si>
  <si>
    <t xml:space="preserve">Otros proveedores</t>
  </si>
  <si>
    <t xml:space="preserve">segundos</t>
  </si>
  <si>
    <t xml:space="preserve">aprobada</t>
  </si>
  <si>
    <t xml:space="preserve">Mesa de corte</t>
  </si>
  <si>
    <t xml:space="preserve">efectiva,implementada</t>
  </si>
  <si>
    <t xml:space="preserve">hrs</t>
  </si>
  <si>
    <t xml:space="preserve">(sin cruce)</t>
  </si>
  <si>
    <t xml:space="preserve">MIN</t>
  </si>
  <si>
    <t xml:space="preserve">KAIZEN_DASHBOARD FORD &amp; STELLANTIS_Jose Carlos Herrera.xlsx</t>
  </si>
  <si>
    <t xml:space="preserve">Piezas</t>
  </si>
  <si>
    <t xml:space="preserve">seg</t>
  </si>
  <si>
    <t xml:space="preserve">piezas x hra</t>
  </si>
  <si>
    <t xml:space="preserve">NA</t>
  </si>
  <si>
    <t xml:space="preserve">minutos</t>
  </si>
  <si>
    <t xml:space="preserve">no</t>
  </si>
  <si>
    <t xml:space="preserve">implementada</t>
  </si>
  <si>
    <t xml:space="preserve">¿Dónde?
Plantas / áreas Daimay</t>
  </si>
  <si>
    <t xml:space="preserve">seg/pza</t>
  </si>
  <si>
    <t xml:space="preserve">aprobada,efectiva,implementada</t>
  </si>
  <si>
    <t xml:space="preserve">Costura T1XX</t>
  </si>
  <si>
    <t xml:space="preserve">C. Solo texto</t>
  </si>
  <si>
    <t xml:space="preserve">Nuevos Proyectos</t>
  </si>
  <si>
    <t xml:space="preserve">Ensamble </t>
  </si>
  <si>
    <t xml:space="preserve">en produccion</t>
  </si>
  <si>
    <t xml:space="preserve">Mesa de alineado Door upper</t>
  </si>
  <si>
    <t xml:space="preserve">En todas las areas </t>
  </si>
  <si>
    <t xml:space="preserve">Mesas de forrado</t>
  </si>
  <si>
    <t xml:space="preserve">Mesas de trabajo frame </t>
  </si>
  <si>
    <t xml:space="preserve">Pruebas electricas</t>
  </si>
  <si>
    <t xml:space="preserve">n/a</t>
  </si>
  <si>
    <t xml:space="preserve">todas las dobles plancha</t>
  </si>
  <si>
    <t xml:space="preserve">en todas las maquinas de rebordeo</t>
  </si>
  <si>
    <t xml:space="preserve">MENOS PIEZAS REC</t>
  </si>
  <si>
    <t xml:space="preserve">Mesas de alineado insertos</t>
  </si>
  <si>
    <t xml:space="preserve">D. Vacío</t>
  </si>
  <si>
    <t xml:space="preserve">Nota: los 12 de la clase A traen cifras pero con unidades mezcladas (USD, MXN, %, HRS, Evento). Ninguno puede irse a la Ruta $ sin que Finanzas valide unidad y periodo.</t>
  </si>
  <si>
    <t xml:space="preserve">IDs 40 y 88 (Tania Lira): el beneficio declarado es MENOR al costo — el ahorro sale negativo. Revisar captura.</t>
  </si>
  <si>
    <t xml:space="preserve">SALÓN DEL AHORRO</t>
  </si>
  <si>
    <t xml:space="preserve">Reconocimiento aparte del ranking de DaiPuntos. Aquí van los Kaizen con ahorro en pesos.</t>
  </si>
  <si>
    <t xml:space="preserve">Solo los marcados VALIDADO cuentan para el total que se reporta a Dirección. El estado lo cambias tú (columna azul).</t>
  </si>
  <si>
    <t xml:space="preserve">#</t>
  </si>
  <si>
    <t xml:space="preserve">Depto</t>
  </si>
  <si>
    <t xml:space="preserve">Estado</t>
  </si>
  <si>
    <t xml:space="preserve">Evidencia en su formato</t>
  </si>
  <si>
    <t xml:space="preserve">El Kaizen</t>
  </si>
  <si>
    <t xml:space="preserve">Pendiente</t>
  </si>
  <si>
    <t xml:space="preserve">Formato declara 37,915.84 USD/año — convertido a MXN @17</t>
  </si>
  <si>
    <t xml:space="preserve">Su formato NO trae cifras (unidades 'USD','Total' sin valor)</t>
  </si>
  <si>
    <t xml:space="preserve">Su formato NO trae ninguna cifra | Líder real; lo registró Jose Emmanuel Alejo Wong</t>
  </si>
  <si>
    <t xml:space="preserve">Su formato dice B=474,000 C=552,000 MXN — el costo SUPERA al beneficio</t>
  </si>
  <si>
    <t xml:space="preserve">Su formato NO trae ninguna cifra</t>
  </si>
  <si>
    <t xml:space="preserve">Su formato dice B=438,000 C=510,000 MXN — el costo SUPERA al beneficio</t>
  </si>
  <si>
    <t xml:space="preserve">Formato con Ahorro al año lleno: 12,260 USD/año — convertido @17</t>
  </si>
  <si>
    <t xml:space="preserve">Formato declara 1,069 USD/año — convertido a MXN @17</t>
  </si>
  <si>
    <t xml:space="preserve">TOTAL DECLARADO</t>
  </si>
  <si>
    <t xml:space="preserve">TOTAL VALIDADO</t>
  </si>
  <si>
    <t xml:space="preserve">Escribe 'Validado' en la columna Estado cuando Finanzas firme el caso. Ese es el número que puedes llevar a Dirección.</t>
  </si>
  <si>
    <t xml:space="preserve">Los 5 renglones en rojo necesitan soporte: o su formato no trae cifras, o el costo declarado supera al beneficio.</t>
  </si>
  <si>
    <t xml:space="preserve">RANKING INDIVIDUAL — abril a septiembre 2026</t>
  </si>
  <si>
    <t xml:space="preserve">Cuenta el LÍDER del Kaizen (col. "Nombre de líder" del Form), no quien lo subió. Solo matriz + bonos; los ahorros van al Salón del Ahorro.</t>
  </si>
  <si>
    <t xml:space="preserve">Proyección anual</t>
  </si>
  <si>
    <t xml:space="preserve">Nivel (anual)</t>
  </si>
  <si>
    <t xml:space="preserve">CORRECCIÓN DE ATRIBUCIÓN — LÍDER vs QUIEN REGISTRÓ</t>
  </si>
  <si>
    <t xml:space="preserve">Los DaiPuntos se acreditan al campo "Nombre de líder" del Form, no a la cuenta que subió el registro. El Número de Empleado del Form corresponde al líder, lo que permitió validar la asignación.</t>
  </si>
  <si>
    <t xml:space="preserve">Líder real (recibe los puntos)</t>
  </si>
  <si>
    <t xml:space="preserve"># Empleado</t>
  </si>
  <si>
    <t xml:space="preserve">Tipo de cambio</t>
  </si>
  <si>
    <t xml:space="preserve">Nota</t>
  </si>
  <si>
    <t xml:space="preserve">Los puntos cambian de persona</t>
  </si>
  <si>
    <t xml:space="preserve">Solo se corrigió la escritura del nombre</t>
  </si>
  <si>
    <t xml:space="preserve">Líder = quien ejecutó (criterio confirmado): coincide con quien registró</t>
  </si>
  <si>
    <t xml:space="preserve">Mismo # de empleado en ambos registros; confirmar apellido correcto.</t>
  </si>
  <si>
    <t xml:space="preserve">El Form trae "Optimización del area de trabajo" en lugar de un nombre. Nómina 3062914.</t>
  </si>
  <si>
    <t xml:space="preserve">Total de kaizenes cuyos puntos cambian de persona: 38   |   solo corrección de nombre: 27</t>
  </si>
  <si>
    <t xml:space="preserve">NUEVOS KAIZEN (carpeta Question (1)) — EVALUACIÓN PROVISIONAL</t>
  </si>
  <si>
    <t xml:space="preserve">Provisional: planta/depto/líder salen de los archivos, no del Form (el concentrado está desactualizado). Impacto y alcance son mi lectura del archivo. No se han subido al dashboard. 'Cuenta' = Sí / Dudoso / No.</t>
  </si>
  <si>
    <t xml:space="preserve">Autor del archivo</t>
  </si>
  <si>
    <t xml:space="preserve">Planta / Depto</t>
  </si>
  <si>
    <t xml:space="preserve">Líder / firmantes (por confirmar)</t>
  </si>
  <si>
    <t xml:space="preserve">Indicador</t>
  </si>
  <si>
    <t xml:space="preserve">Ahorro declarado MXN (informativo)</t>
  </si>
  <si>
    <t xml:space="preserve">TOTAL (si Cuenta=Sí)</t>
  </si>
  <si>
    <t xml:space="preserve">Cuenta</t>
  </si>
  <si>
    <t xml:space="preserve">Banderas</t>
  </si>
  <si>
    <t xml:space="preserve">N01</t>
  </si>
  <si>
    <t xml:space="preserve">Héctor Jaziel Martín</t>
  </si>
  <si>
    <t xml:space="preserve">P2 Producción</t>
  </si>
  <si>
    <t xml:space="preserve">Mauricio Ramírez</t>
  </si>
  <si>
    <t xml:space="preserve">Implementado</t>
  </si>
  <si>
    <t xml:space="preserve">Sí</t>
  </si>
  <si>
    <t xml:space="preserve">[CARGADO al Excel y dashboard] Actividades copiadas de otra plantilla (humidificador); beneficios vacíos</t>
  </si>
  <si>
    <t xml:space="preserve">N02</t>
  </si>
  <si>
    <t xml:space="preserve">P2 Producción (Frame)</t>
  </si>
  <si>
    <t xml:space="preserve">Pokayoke de posición de pieza en prensas</t>
  </si>
  <si>
    <t xml:space="preserve">[CARGADO al Excel y dashboard] Evita daño a tarjeta electrónica; sin datos antes/después. Misma nómina que Héctor Jaziel (por aclarar)</t>
  </si>
  <si>
    <t xml:space="preserve">N03</t>
  </si>
  <si>
    <t xml:space="preserve">Rubén Siller</t>
  </si>
  <si>
    <t xml:space="preserve">P6-7 RH</t>
  </si>
  <si>
    <t xml:space="preserve">Onboarding nuevo ingreso nivel operativo</t>
  </si>
  <si>
    <t xml:space="preserve">Tiempo</t>
  </si>
  <si>
    <t xml:space="preserve">Dudoso</t>
  </si>
  <si>
    <t xml:space="preserve">[CARGADO, marcado amarillo en Evaluación] Fecha de agosto (otra celda marca 9-jul): fuera de septiembre</t>
  </si>
  <si>
    <t xml:space="preserve">N04</t>
  </si>
  <si>
    <t xml:space="preserve">Eduardo Morales</t>
  </si>
  <si>
    <t xml:space="preserve">P7 PIP</t>
  </si>
  <si>
    <t xml:space="preserve">Incremento de piezas por turno (100 → 350)</t>
  </si>
  <si>
    <t xml:space="preserve">Diego Briones (implementó)</t>
  </si>
  <si>
    <t xml:space="preserve">[CARGADO al Excel y dashboard] +250% sin evidencia del método; firma de supervisor vacía</t>
  </si>
  <si>
    <t xml:space="preserve">N05</t>
  </si>
  <si>
    <t xml:space="preserve">Tania Lira</t>
  </si>
  <si>
    <t xml:space="preserve">Logística (todas)</t>
  </si>
  <si>
    <t xml:space="preserve">Hiram González / Jesús Guajardo</t>
  </si>
  <si>
    <t xml:space="preserve">Julio</t>
  </si>
  <si>
    <t xml:space="preserve">Implementado (¿?)</t>
  </si>
  <si>
    <t xml:space="preserve">[CARGADO, marcado amarillo en Evaluación] Narrativa 14,400 USD/año vs tabla 1,200 MXN en 3 meses; fecha 'Julio'</t>
  </si>
  <si>
    <t xml:space="preserve">N06</t>
  </si>
  <si>
    <t xml:space="preserve">P4 Materiales</t>
  </si>
  <si>
    <t xml:space="preserve">[CARGADO al Excel y dashboard] Fecha de implementación en octubre</t>
  </si>
  <si>
    <t xml:space="preserve">N07</t>
  </si>
  <si>
    <t xml:space="preserve">Saúl Gallegos</t>
  </si>
  <si>
    <t xml:space="preserve">P2 Mantenimiento</t>
  </si>
  <si>
    <t xml:space="preserve">Implementado (sin fecha)</t>
  </si>
  <si>
    <t xml:space="preserve">[CARGADO, marcado amarillo en Evaluación] Sin fechas; costo 750 MXN</t>
  </si>
  <si>
    <t xml:space="preserve">N08</t>
  </si>
  <si>
    <t xml:space="preserve">P2 Calidad proveedores</t>
  </si>
  <si>
    <t xml:space="preserve">Rebabeadores (reduce retrabajo)</t>
  </si>
  <si>
    <t xml:space="preserve">[CARGADO al Excel y dashboard] Retrabajo 36 → 2; sin ahorro monetizado</t>
  </si>
  <si>
    <t xml:space="preserve">N09</t>
  </si>
  <si>
    <t xml:space="preserve">Luis Veloz</t>
  </si>
  <si>
    <t xml:space="preserve">Parras Materiales</t>
  </si>
  <si>
    <t xml:space="preserve">Ubicaciones de material en planta</t>
  </si>
  <si>
    <t xml:space="preserve">Sin fecha</t>
  </si>
  <si>
    <t xml:space="preserve">[CARGADO, marcado amarillo en Evaluación] Sin fechas; búsqueda 10 → 6 min</t>
  </si>
  <si>
    <t xml:space="preserve">N10</t>
  </si>
  <si>
    <t xml:space="preserve">Isaac Arámbulo</t>
  </si>
  <si>
    <t xml:space="preserve">P4 Lanzamientos</t>
  </si>
  <si>
    <t xml:space="preserve">Isaac Arámbulo (sup.)</t>
  </si>
  <si>
    <t xml:space="preserve">[CARGADO al Excel y dashboard] Beneficio cualitativo (evitar reclamo)</t>
  </si>
  <si>
    <t xml:space="preserve">N11</t>
  </si>
  <si>
    <t xml:space="preserve">Jorge Zertuche</t>
  </si>
  <si>
    <t xml:space="preserve">Empaque planta 4 (lugar para cartón)</t>
  </si>
  <si>
    <t xml:space="preserve">Tiempo muerto</t>
  </si>
  <si>
    <t xml:space="preserve">[CARGADO al Excel y dashboard] Beneficios sin cifras ('TBD')</t>
  </si>
  <si>
    <t xml:space="preserve">N12</t>
  </si>
  <si>
    <t xml:space="preserve">P1 Cuarto de batería</t>
  </si>
  <si>
    <t xml:space="preserve">Lavaojos y extintor</t>
  </si>
  <si>
    <t xml:space="preserve">[CARGADO al Excel y dashboard] Cumplimiento NOM-005/002 STPS</t>
  </si>
  <si>
    <t xml:space="preserve">N13</t>
  </si>
  <si>
    <t xml:space="preserve">Sergio Zuñiga</t>
  </si>
  <si>
    <t xml:space="preserve">(sin dato)</t>
  </si>
  <si>
    <t xml:space="preserve">(sin título)</t>
  </si>
  <si>
    <t xml:space="preserve">2026-10-30</t>
  </si>
  <si>
    <t xml:space="preserve">Planeado</t>
  </si>
  <si>
    <t xml:space="preserve">No</t>
  </si>
  <si>
    <t xml:space="preserve">[NO CARGADO: no implementado] Fecha de fin 30-oct: aún no implementado</t>
  </si>
  <si>
    <t xml:space="preserve">N14</t>
  </si>
  <si>
    <t xml:space="preserve">Karla Padilla</t>
  </si>
  <si>
    <t xml:space="preserve">P4 Mantenimiento</t>
  </si>
  <si>
    <t xml:space="preserve">Pokayoke bracket (Rivian HL)</t>
  </si>
  <si>
    <t xml:space="preserve">Rafael Rodríguez / Valentín Alvarado</t>
  </si>
  <si>
    <t xml:space="preserve">[CARGADO al Excel y dashboard] 19,580 USD (declarado B 19,850 vs 19,580); periodo no declarado; ventana post-impl. de pocos días; USD −76% vs PPM −35%</t>
  </si>
  <si>
    <t xml:space="preserve">N15</t>
  </si>
  <si>
    <t xml:space="preserve">Erik Aguirre</t>
  </si>
  <si>
    <t xml:space="preserve">P3-4 RH</t>
  </si>
  <si>
    <t xml:space="preserve">Automatización de RH por WhatsApp</t>
  </si>
  <si>
    <t xml:space="preserve">2026-10-23</t>
  </si>
  <si>
    <t xml:space="preserve">Piloto planeado</t>
  </si>
  <si>
    <t xml:space="preserve">Otro</t>
  </si>
  <si>
    <t xml:space="preserve">[NO CARGADO: no implementado] Meta al 23-oct; todo 'por medir/por cotizar'</t>
  </si>
  <si>
    <t xml:space="preserve">N16</t>
  </si>
  <si>
    <t xml:space="preserve">Christian Escobedo</t>
  </si>
  <si>
    <t xml:space="preserve">P6 Línea 12</t>
  </si>
  <si>
    <t xml:space="preserve">Enrique Ramos (sup.)</t>
  </si>
  <si>
    <t xml:space="preserve">[CARGADO al Excel y dashboard] Sin costo</t>
  </si>
  <si>
    <t xml:space="preserve">N17</t>
  </si>
  <si>
    <t xml:space="preserve">Héctor Velasco</t>
  </si>
  <si>
    <t xml:space="preserve">P6 Frame T1XX RR</t>
  </si>
  <si>
    <t xml:space="preserve">Elevar altura de dispositivo de frame</t>
  </si>
  <si>
    <t xml:space="preserve">[CARGADO al Excel y dashboard] Inicio 29-ago, fin 25-sep; sin datos del beneficio</t>
  </si>
  <si>
    <t xml:space="preserve">N18</t>
  </si>
  <si>
    <t xml:space="preserve">Parras Laminado</t>
  </si>
  <si>
    <t xml:space="preserve">Isaac Olvera / Carlos Rodríguez</t>
  </si>
  <si>
    <t xml:space="preserve">[CARGADO al Excel y dashboard] 27,114 USD; periodo no declarado; DOE/SPC sin soporte; USD −76% vs PPM −35%</t>
  </si>
  <si>
    <t xml:space="preserve">N19</t>
  </si>
  <si>
    <t xml:space="preserve">Daniel Parra</t>
  </si>
  <si>
    <t xml:space="preserve">Parras SCI</t>
  </si>
  <si>
    <t xml:space="preserve">[CARGADO al Excel y dashboard] Alcance por confirmar (podría ser planta)</t>
  </si>
  <si>
    <t xml:space="preserve">N20</t>
  </si>
  <si>
    <t xml:space="preserve">José Carlos Herrera</t>
  </si>
  <si>
    <t xml:space="preserve">P2 Calidad</t>
  </si>
  <si>
    <t xml:space="preserve">Control maestro de alertas de calidad</t>
  </si>
  <si>
    <t xml:space="preserve">[CARGADO al Excel y dashboard] 25 → 5 min por llenado</t>
  </si>
  <si>
    <t xml:space="preserve">N21</t>
  </si>
  <si>
    <t xml:space="preserve">P7 Mantenimiento</t>
  </si>
  <si>
    <t xml:space="preserve">[CARGADO al Excel y dashboard] Sin cifras ni indicador</t>
  </si>
  <si>
    <t xml:space="preserve">N22</t>
  </si>
  <si>
    <t xml:space="preserve">P6-7 Materiales</t>
  </si>
  <si>
    <t xml:space="preserve">Confiabilidad en inventario</t>
  </si>
  <si>
    <t xml:space="preserve">Ricardo Reyna</t>
  </si>
  <si>
    <t xml:space="preserve">[CARGADO, marcado amarillo en Evaluación] Fechas = 2-4 ene 2026 (¿error de captura?)</t>
  </si>
  <si>
    <t xml:space="preserve">N23</t>
  </si>
  <si>
    <t xml:space="preserve">Francisco Hernández</t>
  </si>
  <si>
    <t xml:space="preserve">Enrique Cervantes</t>
  </si>
  <si>
    <t xml:space="preserve">[CARGADO al Excel y dashboard] Sin cifras</t>
  </si>
  <si>
    <t xml:space="preserve">N24</t>
  </si>
  <si>
    <t xml:space="preserve">Felipe Guerrero</t>
  </si>
  <si>
    <t xml:space="preserve">Rediseño y ampliación de infraestructura</t>
  </si>
  <si>
    <t xml:space="preserve">Luis Carlos Ruiz</t>
  </si>
  <si>
    <t xml:space="preserve">2026-12-01</t>
  </si>
  <si>
    <t xml:space="preserve">[NO CARGADO: no implementado] Cierre en diciembre</t>
  </si>
  <si>
    <t xml:space="preserve">N25</t>
  </si>
  <si>
    <t xml:space="preserve">[CARGADO al Excel y dashboard] Alcance por confirmar</t>
  </si>
  <si>
    <t xml:space="preserve">N26</t>
  </si>
  <si>
    <t xml:space="preserve">P2 Materiales</t>
  </si>
  <si>
    <t xml:space="preserve">Ahorro de costos (uso de pe…)</t>
  </si>
  <si>
    <t xml:space="preserve">[CARGADO, marcado amarillo en Evaluación] 14,000 sin moneda ni periodo; fechas 30-jun/1-sep</t>
  </si>
  <si>
    <t xml:space="preserve">N27</t>
  </si>
  <si>
    <t xml:space="preserve">P1 Moldeo</t>
  </si>
  <si>
    <t xml:space="preserve">Herramental para toma de piezas</t>
  </si>
  <si>
    <t xml:space="preserve">Sergio Velázquez / Isai Tostado</t>
  </si>
  <si>
    <t xml:space="preserve">[CARGADO, marcado amarillo en Evaluación] Fecha 9-may; '115→120 pzs' vs '+30 %' no cuadra</t>
  </si>
  <si>
    <t xml:space="preserve">N28</t>
  </si>
  <si>
    <t xml:space="preserve">Karina Flores</t>
  </si>
  <si>
    <t xml:space="preserve">Parras Compras</t>
  </si>
  <si>
    <t xml:space="preserve">Gerardo Brondo</t>
  </si>
  <si>
    <t xml:space="preserve">[CARGADO, marcado amarillo en Evaluación] Fechas 2-4 ene 2026; ahorro en 'EA' (304,000), sin MXN</t>
  </si>
  <si>
    <t xml:space="preserve">N29</t>
  </si>
  <si>
    <t xml:space="preserve">Mónica Sifuentes</t>
  </si>
  <si>
    <t xml:space="preserve">P2 RH</t>
  </si>
  <si>
    <t xml:space="preserve">A. Guzmán</t>
  </si>
  <si>
    <t xml:space="preserve">[CARGADO al Excel y dashboard] B/C 1.2; periodo del ahorro no declarado</t>
  </si>
  <si>
    <t xml:space="preserve">N30</t>
  </si>
  <si>
    <t xml:space="preserve">José Arias</t>
  </si>
  <si>
    <t xml:space="preserve">Mtto Ensamble (RF-07 LH)</t>
  </si>
  <si>
    <t xml:space="preserve">Nidos nuevos en acero Toolox 44</t>
  </si>
  <si>
    <t xml:space="preserve">Ricardo Perales / Daniel Galván</t>
  </si>
  <si>
    <t xml:space="preserve">[CARGADO, marcado amarillo en Evaluación] '2,800 por cada pieza' sin periodo ni volumen</t>
  </si>
  <si>
    <t xml:space="preserve">N31</t>
  </si>
  <si>
    <t xml:space="preserve">Diana Ramos / Miguel Ramos</t>
  </si>
  <si>
    <t xml:space="preserve">[CARGADO, marcado amarillo en Evaluación] Hoja oculta; fecha 18-jun</t>
  </si>
  <si>
    <t xml:space="preserve">N32</t>
  </si>
  <si>
    <t xml:space="preserve">N33</t>
  </si>
  <si>
    <t xml:space="preserve">(sin líder)</t>
  </si>
  <si>
    <t xml:space="preserve">Orden</t>
  </si>
  <si>
    <t xml:space="preserve">[CARGADO, marcado amarillo en Evaluación] Sin firmas; sin cifras</t>
  </si>
  <si>
    <t xml:space="preserve">N34</t>
  </si>
  <si>
    <t xml:space="preserve">Yadira González</t>
  </si>
  <si>
    <t xml:space="preserve">P1 Ensamble</t>
  </si>
  <si>
    <t xml:space="preserve">Marco Arellano / Carlos Palacios</t>
  </si>
  <si>
    <t xml:space="preserve">[CARGADO al Excel y dashboard] No agregado a ODS aún</t>
  </si>
  <si>
    <t xml:space="preserve">N35</t>
  </si>
  <si>
    <t xml:space="preserve">Oswaldo Casillas / Christian Bravo</t>
  </si>
  <si>
    <t xml:space="preserve">[CARGADO, marcado amarillo en Evaluación] Sin cifras</t>
  </si>
  <si>
    <t xml:space="preserve">N36</t>
  </si>
  <si>
    <t xml:space="preserve">Adrián Rodríguez</t>
  </si>
  <si>
    <t xml:space="preserve">P7 PIP/Foam</t>
  </si>
  <si>
    <t xml:space="preserve">Eliminación de nube de cera (extractores)</t>
  </si>
  <si>
    <t xml:space="preserve">Manuel Lara (implementó) / Víctor de la Torre (sup.)</t>
  </si>
  <si>
    <t xml:space="preserve">[CARGADO al Excel y dashboard] B 72-200 mil (rango), costo 100,000, ahorro '100,00' mal capturado; actividades fechadas en enero</t>
  </si>
  <si>
    <t xml:space="preserve">Total provisional (solo Sí)</t>
  </si>
  <si>
    <t xml:space="preserve">Registros Sí / Dudoso / No</t>
  </si>
  <si>
    <t xml:space="preserve">REGISTROS QUE NECESITAN TU DECISIÓN</t>
  </si>
  <si>
    <t xml:space="preserve">No los evalué a ciegas. Decide y ajusta impacto/alcance en la hoja Evaluación.</t>
  </si>
  <si>
    <t xml:space="preserve">Qué encontré</t>
  </si>
  <si>
    <t xml:space="preserve">Acción sugerida</t>
  </si>
  <si>
    <t xml:space="preserve">Registro de prueba del administrador (texto 'df','sd')</t>
  </si>
  <si>
    <t xml:space="preserve">EXCLUIR</t>
  </si>
  <si>
    <t xml:space="preserve">Pedir descripción</t>
  </si>
  <si>
    <t xml:space="preserve">Corregir indicador</t>
  </si>
  <si>
    <t xml:space="preserve">EXCLUIR o recapturar</t>
  </si>
  <si>
    <t xml:space="preserve">Limpiar texto</t>
  </si>
  <si>
    <t xml:space="preserve">Pedir detalle + monto</t>
  </si>
  <si>
    <t xml:space="preserve">Pedir detalle</t>
  </si>
  <si>
    <t xml:space="preserve">Validar si es Kaizen</t>
  </si>
  <si>
    <t xml:space="preserve">Confirmar implementación</t>
  </si>
  <si>
    <t xml:space="preserve">Validar alcance</t>
  </si>
</sst>
</file>

<file path=xl/styles.xml><?xml version="1.0" encoding="utf-8"?>
<styleSheet xmlns="http://schemas.openxmlformats.org/spreadsheetml/2006/main">
  <numFmts count="6">
    <numFmt numFmtId="164" formatCode="General"/>
    <numFmt numFmtId="165" formatCode="\$#,##0"/>
    <numFmt numFmtId="166" formatCode="General"/>
    <numFmt numFmtId="167" formatCode="0%"/>
    <numFmt numFmtId="168" formatCode="#,##0.00"/>
    <numFmt numFmtId="169" formatCode="#,##0"/>
  </numFmts>
  <fonts count="32">
    <font>
      <sz val="11"/>
      <color theme="1"/>
      <name val="Calibri"/>
      <family val="2"/>
      <charset val="1"/>
    </font>
    <font>
      <sz val="10"/>
      <name val="Arial"/>
      <family val="0"/>
    </font>
    <font>
      <sz val="10"/>
      <name val="Arial"/>
      <family val="0"/>
    </font>
    <font>
      <sz val="10"/>
      <name val="Arial"/>
      <family val="0"/>
    </font>
    <font>
      <b val="true"/>
      <sz val="14"/>
      <color rgb="FF1A1C1F"/>
      <name val="Arial"/>
      <family val="0"/>
      <charset val="1"/>
    </font>
    <font>
      <sz val="9"/>
      <color rgb="FF8B929B"/>
      <name val="Arial"/>
      <family val="0"/>
      <charset val="1"/>
    </font>
    <font>
      <b val="true"/>
      <sz val="11"/>
      <name val="Arial"/>
      <family val="0"/>
      <charset val="1"/>
    </font>
    <font>
      <b val="true"/>
      <sz val="9"/>
      <color rgb="FFFFFFFF"/>
      <name val="Arial"/>
      <family val="0"/>
      <charset val="1"/>
    </font>
    <font>
      <b val="true"/>
      <sz val="10"/>
      <name val="Arial"/>
      <family val="0"/>
      <charset val="1"/>
    </font>
    <font>
      <sz val="10"/>
      <color rgb="FF0000FF"/>
      <name val="Arial"/>
      <family val="0"/>
      <charset val="1"/>
    </font>
    <font>
      <b val="true"/>
      <sz val="11"/>
      <color rgb="FFC9910B"/>
      <name val="Arial"/>
      <family val="0"/>
      <charset val="1"/>
    </font>
    <font>
      <sz val="9"/>
      <color rgb="FFC9910B"/>
      <name val="Arial"/>
      <family val="0"/>
      <charset val="1"/>
    </font>
    <font>
      <sz val="10"/>
      <name val="Arial"/>
      <family val="0"/>
      <charset val="1"/>
    </font>
    <font>
      <sz val="9"/>
      <color rgb="FFED3037"/>
      <name val="Arial"/>
      <family val="0"/>
      <charset val="1"/>
    </font>
    <font>
      <b val="true"/>
      <sz val="10"/>
      <color rgb="FFFFFFFF"/>
      <name val="Arial"/>
      <family val="0"/>
      <charset val="1"/>
    </font>
    <font>
      <sz val="8"/>
      <name val="Arial"/>
      <family val="0"/>
      <charset val="1"/>
    </font>
    <font>
      <b val="true"/>
      <sz val="10"/>
      <color rgb="FFED3037"/>
      <name val="Arial"/>
      <family val="0"/>
      <charset val="1"/>
    </font>
    <font>
      <sz val="8"/>
      <color rgb="FFB01B22"/>
      <name val="Arial"/>
      <family val="0"/>
      <charset val="1"/>
    </font>
    <font>
      <sz val="9"/>
      <name val="Arial"/>
      <family val="0"/>
      <charset val="1"/>
    </font>
    <font>
      <sz val="9"/>
      <color rgb="FFB01B22"/>
      <name val="Arial"/>
      <family val="0"/>
      <charset val="1"/>
    </font>
    <font>
      <b val="true"/>
      <sz val="16"/>
      <color rgb="FFC9910B"/>
      <name val="Arial"/>
      <family val="0"/>
      <charset val="1"/>
    </font>
    <font>
      <sz val="8"/>
      <color rgb="FF8B929B"/>
      <name val="Arial"/>
      <family val="0"/>
      <charset val="1"/>
    </font>
    <font>
      <b val="true"/>
      <sz val="12"/>
      <color rgb="FFC9910B"/>
      <name val="Arial"/>
      <family val="0"/>
      <charset val="1"/>
    </font>
    <font>
      <b val="true"/>
      <sz val="12"/>
      <color rgb="FFED3037"/>
      <name val="Arial"/>
      <family val="0"/>
      <charset val="1"/>
    </font>
    <font>
      <b val="true"/>
      <sz val="14"/>
      <color rgb="FF1F3864"/>
      <name val="Arial"/>
      <family val="0"/>
      <charset val="1"/>
    </font>
    <font>
      <sz val="9"/>
      <color rgb="FF595959"/>
      <name val="Arial"/>
      <family val="0"/>
      <charset val="1"/>
    </font>
    <font>
      <sz val="10"/>
      <color rgb="FF000000"/>
      <name val="Arial"/>
      <family val="0"/>
      <charset val="1"/>
    </font>
    <font>
      <b val="true"/>
      <sz val="10"/>
      <color rgb="FF000000"/>
      <name val="Arial"/>
      <family val="0"/>
      <charset val="1"/>
    </font>
    <font>
      <b val="true"/>
      <sz val="14"/>
      <name val="Cambria"/>
      <family val="0"/>
      <charset val="1"/>
    </font>
    <font>
      <b val="true"/>
      <sz val="11"/>
      <color rgb="FFFFFFFF"/>
      <name val="Cambria"/>
      <family val="0"/>
      <charset val="1"/>
    </font>
    <font>
      <b val="true"/>
      <sz val="11"/>
      <name val="Cambria"/>
      <family val="0"/>
      <charset val="1"/>
    </font>
    <font>
      <b val="true"/>
      <sz val="9"/>
      <color rgb="FFB01B22"/>
      <name val="Arial"/>
      <family val="0"/>
      <charset val="1"/>
    </font>
  </fonts>
  <fills count="14">
    <fill>
      <patternFill patternType="none"/>
    </fill>
    <fill>
      <patternFill patternType="gray125"/>
    </fill>
    <fill>
      <patternFill patternType="solid">
        <fgColor rgb="FF1A1C1F"/>
        <bgColor rgb="FF333300"/>
      </patternFill>
    </fill>
    <fill>
      <patternFill patternType="solid">
        <fgColor rgb="FFF5F6F8"/>
        <bgColor rgb="FFE7F5ED"/>
      </patternFill>
    </fill>
    <fill>
      <patternFill patternType="solid">
        <fgColor rgb="FFFDECEC"/>
        <bgColor rgb="FFFCE4D6"/>
      </patternFill>
    </fill>
    <fill>
      <patternFill patternType="solid">
        <fgColor rgb="FFFFF3D2"/>
        <bgColor rgb="FFFFF4D6"/>
      </patternFill>
    </fill>
    <fill>
      <patternFill patternType="solid">
        <fgColor rgb="FF1F3864"/>
        <bgColor rgb="FF333399"/>
      </patternFill>
    </fill>
    <fill>
      <patternFill patternType="solid">
        <fgColor rgb="FFFFFF00"/>
        <bgColor rgb="FFFFFF00"/>
      </patternFill>
    </fill>
    <fill>
      <patternFill patternType="solid">
        <fgColor rgb="FFFFF2CC"/>
        <bgColor rgb="FFFFF3D2"/>
      </patternFill>
    </fill>
    <fill>
      <patternFill patternType="solid">
        <fgColor rgb="FFE7F5ED"/>
        <bgColor rgb="FFF5F6F8"/>
      </patternFill>
    </fill>
    <fill>
      <patternFill patternType="solid">
        <fgColor rgb="FFFFF4D6"/>
        <bgColor rgb="FFFFF3D2"/>
      </patternFill>
    </fill>
    <fill>
      <patternFill patternType="solid">
        <fgColor rgb="FFF1D6D6"/>
        <bgColor rgb="FFFCE4D6"/>
      </patternFill>
    </fill>
    <fill>
      <patternFill patternType="solid">
        <fgColor rgb="FFFCE4D6"/>
        <bgColor rgb="FFFDECEC"/>
      </patternFill>
    </fill>
    <fill>
      <patternFill patternType="solid">
        <fgColor rgb="FFF8CBAD"/>
        <bgColor rgb="FFF1D6D6"/>
      </patternFill>
    </fill>
  </fills>
  <borders count="3">
    <border diagonalUp="false" diagonalDown="false">
      <left/>
      <right/>
      <top/>
      <bottom/>
      <diagonal/>
    </border>
    <border diagonalUp="false" diagonalDown="false">
      <left style="thin">
        <color rgb="FFDCDFE4"/>
      </left>
      <right style="thin">
        <color rgb="FFDCDFE4"/>
      </right>
      <top style="thin">
        <color rgb="FFDCDFE4"/>
      </top>
      <bottom style="thin">
        <color rgb="FFDCDFE4"/>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14" fillId="6" borderId="0" xfId="0" applyFont="true" applyBorder="false" applyAlignment="true" applyProtection="false">
      <alignment horizontal="center" vertical="bottom" textRotation="0" wrapText="tru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general" vertical="bottom" textRotation="0" wrapText="false" indent="0" shrinkToFit="false"/>
      <protection locked="true" hidden="false"/>
    </xf>
    <xf numFmtId="166" fontId="16" fillId="4" borderId="0" xfId="0" applyFont="tru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center"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2" fillId="8" borderId="0" xfId="0" applyFont="true" applyBorder="false" applyAlignment="true" applyProtection="false">
      <alignment horizontal="general" vertical="bottom" textRotation="0" wrapText="false" indent="0" shrinkToFit="false"/>
      <protection locked="true" hidden="false"/>
    </xf>
    <xf numFmtId="164" fontId="15" fillId="8" borderId="0" xfId="0" applyFont="true" applyBorder="false" applyAlignment="tru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bottom" textRotation="0" wrapText="false" indent="0" shrinkToFit="false"/>
      <protection locked="true" hidden="false"/>
    </xf>
    <xf numFmtId="165" fontId="9" fillId="8" borderId="1" xfId="0" applyFont="true" applyBorder="true" applyAlignment="true" applyProtection="false">
      <alignment horizontal="general" vertical="bottom" textRotation="0" wrapText="false" indent="0" shrinkToFit="false"/>
      <protection locked="true" hidden="false"/>
    </xf>
    <xf numFmtId="166" fontId="16" fillId="8" borderId="0" xfId="0" applyFont="true" applyBorder="false" applyAlignment="true" applyProtection="false">
      <alignment horizontal="center" vertical="bottom" textRotation="0" wrapText="false" indent="0" shrinkToFit="false"/>
      <protection locked="true" hidden="false"/>
    </xf>
    <xf numFmtId="164" fontId="17" fillId="8" borderId="0" xfId="0" applyFont="true" applyBorder="false" applyAlignment="true" applyProtection="false">
      <alignment horizontal="general" vertical="bottom" textRotation="0" wrapText="false" indent="0" shrinkToFit="false"/>
      <protection locked="true" hidden="false"/>
    </xf>
    <xf numFmtId="164" fontId="12" fillId="8" borderId="0" xfId="0" applyFont="true" applyBorder="false" applyAlignment="true" applyProtection="false">
      <alignment horizontal="left" vertical="bottom" textRotation="0" wrapText="false" indent="0" shrinkToFit="false"/>
      <protection locked="true" hidden="false"/>
    </xf>
    <xf numFmtId="164" fontId="18" fillId="8"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8" fillId="1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11"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8" fillId="9" borderId="1" xfId="0" applyFont="tru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8" fillId="10" borderId="1" xfId="0" applyFont="true" applyBorder="true" applyAlignment="tru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general" vertical="bottom" textRotation="0" wrapText="false" indent="0" shrinkToFit="false"/>
      <protection locked="true" hidden="false"/>
    </xf>
    <xf numFmtId="164" fontId="18" fillId="11"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true" indent="0" shrinkToFit="false"/>
      <protection locked="true" hidden="false"/>
    </xf>
    <xf numFmtId="164" fontId="14" fillId="6" borderId="2" xfId="0" applyFont="true" applyBorder="true" applyAlignment="true" applyProtection="false">
      <alignment horizontal="center" vertical="bottom" textRotation="0" wrapText="true" indent="0" shrinkToFit="false"/>
      <protection locked="true" hidden="false"/>
    </xf>
    <xf numFmtId="164" fontId="26" fillId="0" borderId="2" xfId="0" applyFont="true" applyBorder="true" applyAlignment="true" applyProtection="false">
      <alignment horizontal="center" vertical="bottom" textRotation="0" wrapText="false" indent="0" shrinkToFit="false"/>
      <protection locked="true" hidden="false"/>
    </xf>
    <xf numFmtId="164" fontId="26" fillId="0" borderId="2" xfId="0" applyFont="true" applyBorder="true" applyAlignment="true" applyProtection="false">
      <alignment horizontal="left" vertical="bottom" textRotation="0" wrapText="false" indent="0" shrinkToFit="false"/>
      <protection locked="true" hidden="false"/>
    </xf>
    <xf numFmtId="164" fontId="26" fillId="8" borderId="2" xfId="0" applyFont="true" applyBorder="true" applyAlignment="true" applyProtection="false">
      <alignment horizontal="left" vertical="bottom" textRotation="0" wrapText="false" indent="0" shrinkToFit="false"/>
      <protection locked="true" hidden="false"/>
    </xf>
    <xf numFmtId="164" fontId="26" fillId="0" borderId="2" xfId="0" applyFont="true" applyBorder="true" applyAlignment="true" applyProtection="false">
      <alignment horizontal="left" vertical="bottom" textRotation="0" wrapText="true" indent="0" shrinkToFit="false"/>
      <protection locked="true" hidden="false"/>
    </xf>
    <xf numFmtId="164" fontId="26" fillId="12" borderId="2" xfId="0" applyFont="true" applyBorder="true" applyAlignment="true" applyProtection="false">
      <alignment horizontal="center" vertical="bottom" textRotation="0" wrapText="false" indent="0" shrinkToFit="false"/>
      <protection locked="true" hidden="false"/>
    </xf>
    <xf numFmtId="164" fontId="26" fillId="12" borderId="2" xfId="0" applyFont="true" applyBorder="true" applyAlignment="true" applyProtection="false">
      <alignment horizontal="left" vertical="bottom" textRotation="0" wrapText="false" indent="0" shrinkToFit="false"/>
      <protection locked="true" hidden="false"/>
    </xf>
    <xf numFmtId="164" fontId="26" fillId="12" borderId="2" xfId="0" applyFont="true" applyBorder="true" applyAlignment="true" applyProtection="false">
      <alignment horizontal="left" vertical="bottom"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4" fontId="0" fillId="8" borderId="0" xfId="0" applyFont="true" applyBorder="false" applyAlignment="true" applyProtection="false">
      <alignment horizontal="general" vertical="top" textRotation="0" wrapText="true" indent="0" shrinkToFit="false"/>
      <protection locked="true" hidden="false"/>
    </xf>
    <xf numFmtId="169" fontId="0" fillId="8" borderId="0" xfId="0" applyFont="false" applyBorder="false" applyAlignment="true" applyProtection="false">
      <alignment horizontal="general" vertical="top" textRotation="0" wrapText="true" indent="0" shrinkToFit="false"/>
      <protection locked="true" hidden="false"/>
    </xf>
    <xf numFmtId="164" fontId="0" fillId="13" borderId="0" xfId="0" applyFont="true" applyBorder="false" applyAlignment="true" applyProtection="false">
      <alignment horizontal="general" vertical="top" textRotation="0" wrapText="true" indent="0" shrinkToFit="false"/>
      <protection locked="true" hidden="false"/>
    </xf>
    <xf numFmtId="169" fontId="0" fillId="13" borderId="0" xfId="0" applyFont="false" applyBorder="fals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31"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A1C1F"/>
          <bgColor rgb="FF000000"/>
        </patternFill>
      </fill>
    </dxf>
    <dxf>
      <fill>
        <patternFill patternType="solid">
          <fgColor rgb="FFFDECEC"/>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ED3037"/>
          <bgColor rgb="FF000000"/>
        </patternFill>
      </fill>
    </dxf>
    <dxf>
      <fill>
        <patternFill patternType="solid">
          <fgColor rgb="FFFFF3D2"/>
          <bgColor rgb="FF000000"/>
        </patternFill>
      </fill>
    </dxf>
    <dxf>
      <fill>
        <patternFill patternType="solid">
          <fgColor rgb="FFB01B22"/>
          <bgColor rgb="FF000000"/>
        </patternFill>
      </fill>
    </dxf>
    <dxf>
      <fill>
        <patternFill patternType="solid">
          <fgColor rgb="FFE7F5ED"/>
          <bgColor rgb="FF000000"/>
        </patternFill>
      </fill>
    </dxf>
    <dxf>
      <fill>
        <patternFill patternType="solid">
          <fgColor rgb="FFF1D6D6"/>
          <bgColor rgb="FF000000"/>
        </patternFill>
      </fill>
    </dxf>
    <dxf>
      <fill>
        <patternFill patternType="solid">
          <fgColor rgb="FFFFF4D6"/>
          <bgColor rgb="FF000000"/>
        </patternFill>
      </fill>
    </dxf>
    <dxf>
      <fill>
        <patternFill patternType="solid">
          <fgColor rgb="FF000000"/>
          <bgColor rgb="FF000000"/>
        </patternFill>
      </fill>
    </dxf>
  </dxfs>
  <colors>
    <indexedColors>
      <rgbColor rgb="FF000000"/>
      <rgbColor rgb="FFFFFFFF"/>
      <rgbColor rgb="FFED3037"/>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D6"/>
      <rgbColor rgb="FFE7F5ED"/>
      <rgbColor rgb="FF660066"/>
      <rgbColor rgb="FFFF8080"/>
      <rgbColor rgb="FF0066CC"/>
      <rgbColor rgb="FFDCDFE4"/>
      <rgbColor rgb="FF000080"/>
      <rgbColor rgb="FFFF00FF"/>
      <rgbColor rgb="FFFFFF00"/>
      <rgbColor rgb="FF00FFFF"/>
      <rgbColor rgb="FF800080"/>
      <rgbColor rgb="FF800000"/>
      <rgbColor rgb="FF008080"/>
      <rgbColor rgb="FF0000FF"/>
      <rgbColor rgb="FF00CCFF"/>
      <rgbColor rgb="FFF5F6F8"/>
      <rgbColor rgb="FFFFF3D2"/>
      <rgbColor rgb="FFFFF2CC"/>
      <rgbColor rgb="FFFCE4D6"/>
      <rgbColor rgb="FFF1D6D6"/>
      <rgbColor rgb="FFFDECEC"/>
      <rgbColor rgb="FFF8CBAD"/>
      <rgbColor rgb="FF3366FF"/>
      <rgbColor rgb="FF33CCCC"/>
      <rgbColor rgb="FF99CC00"/>
      <rgbColor rgb="FFFFCC00"/>
      <rgbColor rgb="FFC9910B"/>
      <rgbColor rgb="FFFF6600"/>
      <rgbColor rgb="FF595959"/>
      <rgbColor rgb="FF8B929B"/>
      <rgbColor rgb="FF1F3864"/>
      <rgbColor rgb="FF339966"/>
      <rgbColor rgb="FF003300"/>
      <rgbColor rgb="FF333300"/>
      <rgbColor rgb="FFB01B22"/>
      <rgbColor rgb="FF993366"/>
      <rgbColor rgb="FF333399"/>
      <rgbColor rgb="FF1A1C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66796875" defaultRowHeight="14.25" zeroHeight="false" outlineLevelRow="0" outlineLevelCol="0"/>
  <cols>
    <col collapsed="false" customWidth="true" hidden="false" outlineLevel="0" max="2" min="2" style="1" width="62"/>
    <col collapsed="false" customWidth="true" hidden="false" outlineLevel="0" max="5" min="3" style="1" width="19"/>
  </cols>
  <sheetData>
    <row r="2" customFormat="false" ht="17.2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15" hidden="false" customHeight="true" outlineLevel="0" collapsed="false">
      <c r="B6" s="5" t="s">
        <v>3</v>
      </c>
      <c r="C6" s="5" t="s">
        <v>4</v>
      </c>
      <c r="D6" s="5" t="s">
        <v>5</v>
      </c>
      <c r="E6" s="5" t="s">
        <v>6</v>
      </c>
    </row>
    <row r="7" customFormat="false" ht="15" hidden="false" customHeight="true" outlineLevel="0" collapsed="false">
      <c r="B7" s="6" t="s">
        <v>7</v>
      </c>
      <c r="C7" s="7" t="n">
        <v>50</v>
      </c>
      <c r="D7" s="7" t="n">
        <v>100</v>
      </c>
      <c r="E7" s="7" t="n">
        <v>150</v>
      </c>
    </row>
    <row r="8" customFormat="false" ht="15" hidden="false" customHeight="true" outlineLevel="0" collapsed="false">
      <c r="B8" s="6" t="s">
        <v>8</v>
      </c>
      <c r="C8" s="7" t="n">
        <v>100</v>
      </c>
      <c r="D8" s="7" t="n">
        <v>200</v>
      </c>
      <c r="E8" s="8" t="n">
        <v>300</v>
      </c>
    </row>
    <row r="9" customFormat="false" ht="15" hidden="false" customHeight="true" outlineLevel="0" collapsed="false">
      <c r="B9" s="6" t="s">
        <v>9</v>
      </c>
      <c r="C9" s="7" t="n">
        <v>150</v>
      </c>
      <c r="D9" s="8" t="n">
        <v>300</v>
      </c>
      <c r="E9" s="8" t="n">
        <v>450</v>
      </c>
    </row>
    <row r="11" customFormat="false" ht="15" hidden="false" customHeight="true" outlineLevel="0" collapsed="false">
      <c r="B11" s="9" t="s">
        <v>10</v>
      </c>
    </row>
    <row r="12" customFormat="false" ht="15" hidden="false" customHeight="true" outlineLevel="0" collapsed="false">
      <c r="B12" s="10" t="s">
        <v>11</v>
      </c>
      <c r="C12" s="10" t="s">
        <v>12</v>
      </c>
    </row>
    <row r="13" customFormat="false" ht="15" hidden="false" customHeight="true" outlineLevel="0" collapsed="false">
      <c r="B13" s="11" t="n">
        <v>0</v>
      </c>
      <c r="C13" s="12" t="n">
        <v>300</v>
      </c>
    </row>
    <row r="14" customFormat="false" ht="15" hidden="false" customHeight="true" outlineLevel="0" collapsed="false">
      <c r="B14" s="11" t="n">
        <v>10000</v>
      </c>
      <c r="C14" s="12" t="n">
        <v>500</v>
      </c>
    </row>
    <row r="15" customFormat="false" ht="15" hidden="false" customHeight="true" outlineLevel="0" collapsed="false">
      <c r="B15" s="11" t="n">
        <v>50000</v>
      </c>
      <c r="C15" s="12" t="n">
        <v>700</v>
      </c>
    </row>
    <row r="16" customFormat="false" ht="15" hidden="false" customHeight="true" outlineLevel="0" collapsed="false">
      <c r="B16" s="11" t="n">
        <v>150000</v>
      </c>
      <c r="C16" s="12" t="n">
        <v>1000</v>
      </c>
    </row>
    <row r="17" customFormat="false" ht="15" hidden="false" customHeight="true" outlineLevel="0" collapsed="false">
      <c r="B17" s="13" t="s">
        <v>13</v>
      </c>
    </row>
    <row r="19" customFormat="false" ht="15" hidden="false" customHeight="true" outlineLevel="0" collapsed="false">
      <c r="B19" s="4" t="s">
        <v>14</v>
      </c>
    </row>
    <row r="20" customFormat="false" ht="15" hidden="false" customHeight="true" outlineLevel="0" collapsed="false">
      <c r="B20" s="14" t="s">
        <v>15</v>
      </c>
      <c r="C20" s="15" t="n">
        <v>100</v>
      </c>
    </row>
    <row r="21" customFormat="false" ht="15" hidden="false" customHeight="true" outlineLevel="0" collapsed="false">
      <c r="B21" s="14" t="s">
        <v>16</v>
      </c>
      <c r="C21" s="15" t="n">
        <v>50</v>
      </c>
    </row>
    <row r="22" customFormat="false" ht="15" hidden="false" customHeight="true" outlineLevel="0" collapsed="false">
      <c r="B22" s="14" t="s">
        <v>17</v>
      </c>
      <c r="C22" s="15" t="n">
        <v>50</v>
      </c>
    </row>
    <row r="23" customFormat="false" ht="15" hidden="false" customHeight="true" outlineLevel="0" collapsed="false">
      <c r="B23" s="14" t="s">
        <v>18</v>
      </c>
      <c r="C23" s="15" t="n">
        <v>50</v>
      </c>
    </row>
    <row r="24" customFormat="false" ht="15" hidden="false" customHeight="true" outlineLevel="0" collapsed="false">
      <c r="B24" s="1" t="s">
        <v>19</v>
      </c>
      <c r="C24" s="15" t="n">
        <v>200</v>
      </c>
    </row>
    <row r="26" customFormat="false" ht="15" hidden="false" customHeight="true" outlineLevel="0" collapsed="false">
      <c r="B26" s="4" t="s">
        <v>20</v>
      </c>
    </row>
    <row r="27" customFormat="false" ht="15" hidden="false" customHeight="true" outlineLevel="0" collapsed="false">
      <c r="B27" s="1" t="s">
        <v>21</v>
      </c>
      <c r="C27" s="16" t="n">
        <v>17</v>
      </c>
    </row>
    <row r="28" customFormat="false" ht="15" hidden="false" customHeight="true" outlineLevel="0" collapsed="false">
      <c r="B28" s="3" t="s">
        <v>22</v>
      </c>
    </row>
    <row r="29" customFormat="false" ht="15" hidden="false" customHeight="true" outlineLevel="0" collapsed="false">
      <c r="B29" s="3" t="s">
        <v>23</v>
      </c>
    </row>
    <row r="30" customFormat="false" ht="15" hidden="false" customHeight="true" outlineLevel="0" collapsed="false">
      <c r="B30"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J104" activeCellId="0" sqref="J104"/>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9"/>
    <col collapsed="false" customWidth="true" hidden="false" outlineLevel="0" max="4" min="4" style="1" width="30"/>
    <col collapsed="false" customWidth="true" hidden="false" outlineLevel="0" max="5" min="5" style="1" width="12"/>
    <col collapsed="false" customWidth="true" hidden="false" outlineLevel="0" max="6" min="6" style="1" width="17"/>
    <col collapsed="false" customWidth="true" hidden="false" outlineLevel="0" max="7" min="7" style="1" width="34"/>
    <col collapsed="false" customWidth="true" hidden="false" outlineLevel="0" max="9" min="8" style="1" width="9"/>
    <col collapsed="false" customWidth="true" hidden="false" outlineLevel="0" max="10" min="10" style="1" width="14"/>
    <col collapsed="false" customWidth="true" hidden="false" outlineLevel="0" max="12" min="11" style="1" width="10"/>
    <col collapsed="false" customWidth="true" hidden="false" outlineLevel="0" max="14" min="13" style="1" width="9"/>
    <col collapsed="false" customWidth="true" hidden="false" outlineLevel="0" max="15" min="15" style="1" width="34"/>
    <col collapsed="false" customWidth="true" hidden="false" outlineLevel="0" max="17" min="16" style="1" width="52"/>
    <col collapsed="false" customWidth="true" hidden="false" outlineLevel="0" max="18" min="18" style="1" width="28"/>
    <col collapsed="false" customWidth="true" hidden="false" outlineLevel="0" max="19" min="19" style="1" width="34"/>
    <col collapsed="false" customWidth="true" hidden="false" outlineLevel="0" max="20" min="20" style="0" width="50"/>
    <col collapsed="false" customWidth="true" hidden="false" outlineLevel="0" max="21" min="21" style="0" width="12"/>
  </cols>
  <sheetData>
    <row r="1" customFormat="false" ht="17.25" hidden="false" customHeight="true" outlineLevel="0" collapsed="false">
      <c r="A1" s="2" t="s">
        <v>25</v>
      </c>
    </row>
    <row r="2" customFormat="false" ht="15" hidden="false" customHeight="true" outlineLevel="0" collapsed="false">
      <c r="A2" s="17" t="s">
        <v>26</v>
      </c>
    </row>
    <row r="4" customFormat="false" ht="21.75" hidden="false" customHeight="true" outlineLevel="0" collapsed="false">
      <c r="A4" s="18" t="s">
        <v>27</v>
      </c>
      <c r="B4" s="18" t="s">
        <v>28</v>
      </c>
      <c r="C4" s="18" t="s">
        <v>29</v>
      </c>
      <c r="D4" s="18" t="s">
        <v>30</v>
      </c>
      <c r="E4" s="18" t="s">
        <v>31</v>
      </c>
      <c r="F4" s="18" t="s">
        <v>32</v>
      </c>
      <c r="G4" s="18" t="s">
        <v>33</v>
      </c>
      <c r="H4" s="18" t="s">
        <v>34</v>
      </c>
      <c r="I4" s="18" t="s">
        <v>35</v>
      </c>
      <c r="J4" s="18" t="s">
        <v>36</v>
      </c>
      <c r="K4" s="18" t="s">
        <v>37</v>
      </c>
      <c r="L4" s="19" t="s">
        <v>38</v>
      </c>
      <c r="M4" s="18" t="s">
        <v>39</v>
      </c>
      <c r="N4" s="18" t="s">
        <v>40</v>
      </c>
      <c r="O4" s="18" t="s">
        <v>41</v>
      </c>
      <c r="P4" s="18" t="s">
        <v>42</v>
      </c>
      <c r="Q4" s="18" t="s">
        <v>43</v>
      </c>
      <c r="R4" s="20" t="s">
        <v>44</v>
      </c>
      <c r="S4" s="20" t="s">
        <v>45</v>
      </c>
      <c r="T4" s="20" t="s">
        <v>46</v>
      </c>
      <c r="U4" s="20" t="s">
        <v>47</v>
      </c>
    </row>
    <row r="5" customFormat="false" ht="15" hidden="false" customHeight="true" outlineLevel="0" collapsed="false">
      <c r="A5" s="21" t="n">
        <v>1</v>
      </c>
      <c r="B5" s="21" t="s">
        <v>48</v>
      </c>
      <c r="C5" s="21" t="s">
        <v>49</v>
      </c>
      <c r="D5" s="22" t="s">
        <v>50</v>
      </c>
      <c r="E5" s="21" t="s">
        <v>51</v>
      </c>
      <c r="F5" s="21" t="s">
        <v>52</v>
      </c>
      <c r="G5" s="23" t="s">
        <v>53</v>
      </c>
      <c r="H5" s="8" t="n">
        <v>3</v>
      </c>
      <c r="I5" s="8" t="n">
        <v>2</v>
      </c>
      <c r="J5" s="24"/>
      <c r="K5" s="21" t="n">
        <f aca="false">INDEX(Matriz!$C$7:$E$9,H5,I5)</f>
        <v>300</v>
      </c>
      <c r="L5" s="21" t="n">
        <f aca="false">IF(J5="",0,IF(J5&lt;Matriz!$B$14,Matriz!$C$13,IF(J5&lt;Matriz!$B$15,Matriz!$C$14,IF(J5&lt;Matriz!$B$16,Matriz!$C$15,Matriz!$C$16))))</f>
        <v>0</v>
      </c>
      <c r="M5" s="21" t="n">
        <f aca="false">IF(ISNUMBER(SEARCH("Seguridad",S5)),Matriz!$C$20,0)</f>
        <v>100</v>
      </c>
      <c r="N5" s="25" t="n">
        <f aca="false">K5+MIN(M5,Matriz!$C$24)</f>
        <v>400</v>
      </c>
      <c r="O5" s="26" t="s">
        <v>54</v>
      </c>
      <c r="P5" s="23" t="s">
        <v>55</v>
      </c>
      <c r="Q5" s="23" t="s">
        <v>56</v>
      </c>
      <c r="R5" s="27" t="s">
        <v>57</v>
      </c>
      <c r="S5" s="28" t="s">
        <v>53</v>
      </c>
    </row>
    <row r="6" customFormat="false" ht="15" hidden="false" customHeight="true" outlineLevel="0" collapsed="false">
      <c r="A6" s="14" t="n">
        <v>2</v>
      </c>
      <c r="B6" s="14" t="s">
        <v>58</v>
      </c>
      <c r="C6" s="14" t="s">
        <v>59</v>
      </c>
      <c r="D6" s="14" t="s">
        <v>60</v>
      </c>
      <c r="E6" s="14" t="s">
        <v>61</v>
      </c>
      <c r="F6" s="14" t="s">
        <v>62</v>
      </c>
      <c r="G6" s="29" t="s">
        <v>63</v>
      </c>
      <c r="H6" s="15" t="n">
        <v>3</v>
      </c>
      <c r="I6" s="15" t="n">
        <v>3</v>
      </c>
      <c r="J6" s="30"/>
      <c r="K6" s="14" t="n">
        <f aca="false">INDEX(Matriz!$C$7:$E$9,H6,I6)</f>
        <v>450</v>
      </c>
      <c r="L6" s="14" t="n">
        <f aca="false">IF(J6="",0,IF(J6&lt;Matriz!$B$14,Matriz!$C$13,IF(J6&lt;Matriz!$B$15,Matriz!$C$14,IF(J6&lt;Matriz!$B$16,Matriz!$C$15,Matriz!$C$16))))</f>
        <v>0</v>
      </c>
      <c r="M6" s="14" t="n">
        <f aca="false">IF(ISNUMBER(SEARCH("Seguridad",S6)),Matriz!$C$20,0)</f>
        <v>0</v>
      </c>
      <c r="N6" s="31" t="n">
        <f aca="false">K6+MIN(M6,Matriz!$C$24)</f>
        <v>450</v>
      </c>
      <c r="O6" s="32" t="s">
        <v>64</v>
      </c>
      <c r="P6" s="29" t="s">
        <v>65</v>
      </c>
      <c r="Q6" s="29" t="s">
        <v>66</v>
      </c>
      <c r="R6" s="27" t="s">
        <v>67</v>
      </c>
      <c r="S6" s="28" t="s">
        <v>68</v>
      </c>
      <c r="T6" s="1" t="s">
        <v>69</v>
      </c>
      <c r="U6" s="1" t="s">
        <v>70</v>
      </c>
    </row>
    <row r="7" customFormat="false" ht="15" hidden="false" customHeight="true" outlineLevel="0" collapsed="false">
      <c r="A7" s="14" t="n">
        <v>3</v>
      </c>
      <c r="B7" s="14" t="s">
        <v>71</v>
      </c>
      <c r="C7" s="14" t="s">
        <v>49</v>
      </c>
      <c r="D7" s="14" t="s">
        <v>72</v>
      </c>
      <c r="E7" s="14" t="s">
        <v>73</v>
      </c>
      <c r="F7" s="14" t="s">
        <v>74</v>
      </c>
      <c r="G7" s="29" t="s">
        <v>75</v>
      </c>
      <c r="H7" s="15" t="n">
        <v>1</v>
      </c>
      <c r="I7" s="15" t="n">
        <v>3</v>
      </c>
      <c r="J7" s="30"/>
      <c r="K7" s="14" t="n">
        <f aca="false">INDEX(Matriz!$C$7:$E$9,H7,I7)</f>
        <v>150</v>
      </c>
      <c r="L7" s="14" t="n">
        <f aca="false">IF(J7="",0,IF(J7&lt;Matriz!$B$14,Matriz!$C$13,IF(J7&lt;Matriz!$B$15,Matriz!$C$14,IF(J7&lt;Matriz!$B$16,Matriz!$C$15,Matriz!$C$16))))</f>
        <v>0</v>
      </c>
      <c r="M7" s="14" t="n">
        <f aca="false">IF(ISNUMBER(SEARCH("Seguridad",S7)),Matriz!$C$20,0)</f>
        <v>0</v>
      </c>
      <c r="N7" s="31" t="n">
        <f aca="false">K7+MIN(M7,Matriz!$C$24)</f>
        <v>150</v>
      </c>
      <c r="O7" s="32" t="s">
        <v>76</v>
      </c>
      <c r="P7" s="29" t="s">
        <v>77</v>
      </c>
      <c r="Q7" s="29" t="s">
        <v>78</v>
      </c>
      <c r="R7" s="27" t="s">
        <v>72</v>
      </c>
      <c r="S7" s="28" t="s">
        <v>75</v>
      </c>
      <c r="T7" s="1" t="s">
        <v>79</v>
      </c>
      <c r="U7" s="1" t="s">
        <v>80</v>
      </c>
    </row>
    <row r="8" customFormat="false" ht="15" hidden="false" customHeight="true" outlineLevel="0" collapsed="false">
      <c r="A8" s="14" t="n">
        <v>4</v>
      </c>
      <c r="B8" s="14" t="s">
        <v>81</v>
      </c>
      <c r="C8" s="14" t="s">
        <v>59</v>
      </c>
      <c r="D8" s="14" t="s">
        <v>82</v>
      </c>
      <c r="E8" s="14" t="s">
        <v>73</v>
      </c>
      <c r="F8" s="14" t="s">
        <v>83</v>
      </c>
      <c r="G8" s="29" t="s">
        <v>63</v>
      </c>
      <c r="H8" s="15" t="n">
        <v>3</v>
      </c>
      <c r="I8" s="15" t="n">
        <v>3</v>
      </c>
      <c r="J8" s="30" t="n">
        <v>474000</v>
      </c>
      <c r="K8" s="14" t="n">
        <f aca="false">INDEX(Matriz!$C$7:$E$9,H8,I8)</f>
        <v>450</v>
      </c>
      <c r="L8" s="14" t="n">
        <f aca="false">IF(J8="",0,IF(J8&lt;Matriz!$B$14,Matriz!$C$13,IF(J8&lt;Matriz!$B$15,Matriz!$C$14,IF(J8&lt;Matriz!$B$16,Matriz!$C$15,Matriz!$C$16))))</f>
        <v>1000</v>
      </c>
      <c r="M8" s="14" t="n">
        <f aca="false">IF(ISNUMBER(SEARCH("Seguridad",S8)),Matriz!$C$20,0)</f>
        <v>0</v>
      </c>
      <c r="N8" s="31" t="n">
        <f aca="false">K8+MIN(M8,Matriz!$C$24)</f>
        <v>450</v>
      </c>
      <c r="O8" s="33"/>
      <c r="P8" s="29" t="s">
        <v>84</v>
      </c>
      <c r="Q8" s="29" t="s">
        <v>85</v>
      </c>
      <c r="R8" s="27" t="s">
        <v>82</v>
      </c>
      <c r="S8" s="28" t="s">
        <v>68</v>
      </c>
      <c r="T8" s="1" t="s">
        <v>86</v>
      </c>
      <c r="U8" s="1" t="s">
        <v>87</v>
      </c>
    </row>
    <row r="9" customFormat="false" ht="15" hidden="false" customHeight="true" outlineLevel="0" collapsed="false">
      <c r="A9" s="14" t="n">
        <v>5</v>
      </c>
      <c r="B9" s="14" t="s">
        <v>88</v>
      </c>
      <c r="C9" s="14" t="s">
        <v>49</v>
      </c>
      <c r="D9" s="14" t="s">
        <v>89</v>
      </c>
      <c r="E9" s="14" t="s">
        <v>90</v>
      </c>
      <c r="F9" s="14" t="s">
        <v>74</v>
      </c>
      <c r="G9" s="29" t="s">
        <v>74</v>
      </c>
      <c r="H9" s="15" t="n">
        <v>3</v>
      </c>
      <c r="I9" s="15" t="n">
        <v>1</v>
      </c>
      <c r="J9" s="30" t="n">
        <v>438000</v>
      </c>
      <c r="K9" s="14" t="n">
        <f aca="false">INDEX(Matriz!$C$7:$E$9,H9,I9)</f>
        <v>150</v>
      </c>
      <c r="L9" s="14" t="n">
        <f aca="false">IF(J9="",0,IF(J9&lt;Matriz!$B$14,Matriz!$C$13,IF(J9&lt;Matriz!$B$15,Matriz!$C$14,IF(J9&lt;Matriz!$B$16,Matriz!$C$15,Matriz!$C$16))))</f>
        <v>1000</v>
      </c>
      <c r="M9" s="14" t="n">
        <f aca="false">IF(ISNUMBER(SEARCH("Seguridad",S9)),Matriz!$C$20,0)</f>
        <v>0</v>
      </c>
      <c r="N9" s="31" t="n">
        <f aca="false">K9+MIN(M9,Matriz!$C$24)</f>
        <v>150</v>
      </c>
      <c r="O9" s="33"/>
      <c r="P9" s="29" t="s">
        <v>91</v>
      </c>
      <c r="Q9" s="29" t="s">
        <v>92</v>
      </c>
      <c r="R9" s="27" t="s">
        <v>93</v>
      </c>
      <c r="S9" s="28" t="s">
        <v>94</v>
      </c>
      <c r="T9" s="1" t="s">
        <v>95</v>
      </c>
      <c r="U9" s="1" t="s">
        <v>96</v>
      </c>
    </row>
    <row r="10" customFormat="false" ht="15" hidden="false" customHeight="true" outlineLevel="0" collapsed="false">
      <c r="A10" s="14" t="n">
        <v>6</v>
      </c>
      <c r="B10" s="14" t="s">
        <v>97</v>
      </c>
      <c r="C10" s="14" t="s">
        <v>49</v>
      </c>
      <c r="D10" s="14" t="s">
        <v>98</v>
      </c>
      <c r="E10" s="14" t="s">
        <v>73</v>
      </c>
      <c r="F10" s="14" t="s">
        <v>99</v>
      </c>
      <c r="G10" s="29" t="s">
        <v>53</v>
      </c>
      <c r="H10" s="15" t="n">
        <v>3</v>
      </c>
      <c r="I10" s="15" t="n">
        <v>1</v>
      </c>
      <c r="J10" s="30"/>
      <c r="K10" s="14" t="n">
        <f aca="false">INDEX(Matriz!$C$7:$E$9,H10,I10)</f>
        <v>150</v>
      </c>
      <c r="L10" s="14" t="n">
        <f aca="false">IF(J10="",0,IF(J10&lt;Matriz!$B$14,Matriz!$C$13,IF(J10&lt;Matriz!$B$15,Matriz!$C$14,IF(J10&lt;Matriz!$B$16,Matriz!$C$15,Matriz!$C$16))))</f>
        <v>0</v>
      </c>
      <c r="M10" s="14" t="n">
        <f aca="false">IF(ISNUMBER(SEARCH("Seguridad",S10)),Matriz!$C$20,0)</f>
        <v>100</v>
      </c>
      <c r="N10" s="31" t="n">
        <f aca="false">K10+MIN(M10,Matriz!$C$24)</f>
        <v>250</v>
      </c>
      <c r="O10" s="33"/>
      <c r="P10" s="29" t="s">
        <v>100</v>
      </c>
      <c r="Q10" s="29" t="s">
        <v>101</v>
      </c>
      <c r="R10" s="27" t="s">
        <v>98</v>
      </c>
      <c r="S10" s="28" t="s">
        <v>53</v>
      </c>
      <c r="T10" s="1"/>
      <c r="U10" s="1" t="s">
        <v>102</v>
      </c>
    </row>
    <row r="11" customFormat="false" ht="15" hidden="false" customHeight="true" outlineLevel="0" collapsed="false">
      <c r="A11" s="14" t="n">
        <v>7</v>
      </c>
      <c r="B11" s="14" t="s">
        <v>103</v>
      </c>
      <c r="C11" s="14" t="s">
        <v>104</v>
      </c>
      <c r="D11" s="14" t="s">
        <v>105</v>
      </c>
      <c r="E11" s="14" t="s">
        <v>51</v>
      </c>
      <c r="F11" s="14" t="s">
        <v>106</v>
      </c>
      <c r="G11" s="29" t="s">
        <v>63</v>
      </c>
      <c r="H11" s="15" t="n">
        <v>3</v>
      </c>
      <c r="I11" s="15" t="n">
        <v>3</v>
      </c>
      <c r="J11" s="30"/>
      <c r="K11" s="14" t="n">
        <f aca="false">INDEX(Matriz!$C$7:$E$9,H11,I11)</f>
        <v>450</v>
      </c>
      <c r="L11" s="14" t="n">
        <f aca="false">IF(J11="",0,IF(J11&lt;Matriz!$B$14,Matriz!$C$13,IF(J11&lt;Matriz!$B$15,Matriz!$C$14,IF(J11&lt;Matriz!$B$16,Matriz!$C$15,Matriz!$C$16))))</f>
        <v>0</v>
      </c>
      <c r="M11" s="14" t="n">
        <f aca="false">IF(ISNUMBER(SEARCH("Seguridad",S11)),Matriz!$C$20,0)</f>
        <v>0</v>
      </c>
      <c r="N11" s="31" t="n">
        <f aca="false">K11+MIN(M11,Matriz!$C$24)</f>
        <v>450</v>
      </c>
      <c r="O11" s="33"/>
      <c r="P11" s="29" t="s">
        <v>107</v>
      </c>
      <c r="Q11" s="29" t="s">
        <v>108</v>
      </c>
      <c r="R11" s="27" t="s">
        <v>109</v>
      </c>
      <c r="S11" s="28" t="s">
        <v>68</v>
      </c>
      <c r="T11" s="1" t="s">
        <v>110</v>
      </c>
      <c r="U11" s="1" t="s">
        <v>111</v>
      </c>
    </row>
    <row r="12" customFormat="false" ht="15" hidden="false" customHeight="true" outlineLevel="0" collapsed="false">
      <c r="A12" s="14" t="n">
        <v>8</v>
      </c>
      <c r="B12" s="14" t="s">
        <v>112</v>
      </c>
      <c r="C12" s="14" t="s">
        <v>113</v>
      </c>
      <c r="D12" s="14" t="s">
        <v>114</v>
      </c>
      <c r="E12" s="14" t="s">
        <v>90</v>
      </c>
      <c r="F12" s="14" t="s">
        <v>99</v>
      </c>
      <c r="G12" s="29" t="s">
        <v>115</v>
      </c>
      <c r="H12" s="15" t="n">
        <v>2</v>
      </c>
      <c r="I12" s="15" t="n">
        <v>2</v>
      </c>
      <c r="J12" s="30"/>
      <c r="K12" s="14" t="n">
        <f aca="false">INDEX(Matriz!$C$7:$E$9,H12,I12)</f>
        <v>200</v>
      </c>
      <c r="L12" s="14" t="n">
        <f aca="false">IF(J12="",0,IF(J12&lt;Matriz!$B$14,Matriz!$C$13,IF(J12&lt;Matriz!$B$15,Matriz!$C$14,IF(J12&lt;Matriz!$B$16,Matriz!$C$15,Matriz!$C$16))))</f>
        <v>0</v>
      </c>
      <c r="M12" s="14" t="n">
        <f aca="false">IF(ISNUMBER(SEARCH("Seguridad",S12)),Matriz!$C$20,0)</f>
        <v>0</v>
      </c>
      <c r="N12" s="31" t="n">
        <f aca="false">K12+MIN(M12,Matriz!$C$24)</f>
        <v>200</v>
      </c>
      <c r="O12" s="33"/>
      <c r="P12" s="29" t="s">
        <v>116</v>
      </c>
      <c r="Q12" s="29" t="s">
        <v>117</v>
      </c>
      <c r="R12" s="27" t="s">
        <v>118</v>
      </c>
      <c r="S12" s="28" t="s">
        <v>119</v>
      </c>
      <c r="T12" s="1" t="s">
        <v>120</v>
      </c>
      <c r="U12" s="1" t="s">
        <v>121</v>
      </c>
    </row>
    <row r="13" customFormat="false" ht="15" hidden="false" customHeight="true" outlineLevel="0" collapsed="false">
      <c r="A13" s="14" t="n">
        <v>9</v>
      </c>
      <c r="B13" s="14" t="s">
        <v>122</v>
      </c>
      <c r="C13" s="14" t="s">
        <v>49</v>
      </c>
      <c r="D13" s="14" t="s">
        <v>123</v>
      </c>
      <c r="E13" s="14" t="s">
        <v>51</v>
      </c>
      <c r="F13" s="14" t="s">
        <v>83</v>
      </c>
      <c r="G13" s="29" t="s">
        <v>115</v>
      </c>
      <c r="H13" s="15" t="n">
        <v>3</v>
      </c>
      <c r="I13" s="15" t="n">
        <v>3</v>
      </c>
      <c r="J13" s="30"/>
      <c r="K13" s="14" t="n">
        <f aca="false">INDEX(Matriz!$C$7:$E$9,H13,I13)</f>
        <v>450</v>
      </c>
      <c r="L13" s="14" t="n">
        <f aca="false">IF(J13="",0,IF(J13&lt;Matriz!$B$14,Matriz!$C$13,IF(J13&lt;Matriz!$B$15,Matriz!$C$14,IF(J13&lt;Matriz!$B$16,Matriz!$C$15,Matriz!$C$16))))</f>
        <v>0</v>
      </c>
      <c r="M13" s="14" t="n">
        <f aca="false">IF(ISNUMBER(SEARCH("Seguridad",S13)),Matriz!$C$20,0)</f>
        <v>0</v>
      </c>
      <c r="N13" s="31" t="n">
        <f aca="false">K13+MIN(M13,Matriz!$C$24)</f>
        <v>450</v>
      </c>
      <c r="O13" s="33"/>
      <c r="P13" s="29" t="s">
        <v>124</v>
      </c>
      <c r="Q13" s="29" t="s">
        <v>125</v>
      </c>
      <c r="R13" s="27" t="s">
        <v>126</v>
      </c>
      <c r="S13" s="28" t="s">
        <v>127</v>
      </c>
      <c r="T13" s="1" t="s">
        <v>128</v>
      </c>
      <c r="U13" s="1" t="s">
        <v>129</v>
      </c>
    </row>
    <row r="14" customFormat="false" ht="15" hidden="false" customHeight="true" outlineLevel="0" collapsed="false">
      <c r="A14" s="14" t="n">
        <v>10</v>
      </c>
      <c r="B14" s="14" t="s">
        <v>130</v>
      </c>
      <c r="C14" s="14" t="s">
        <v>113</v>
      </c>
      <c r="D14" s="14" t="s">
        <v>131</v>
      </c>
      <c r="E14" s="14" t="s">
        <v>90</v>
      </c>
      <c r="F14" s="14" t="s">
        <v>132</v>
      </c>
      <c r="G14" s="29" t="s">
        <v>53</v>
      </c>
      <c r="H14" s="15" t="n">
        <v>3</v>
      </c>
      <c r="I14" s="15" t="n">
        <v>2</v>
      </c>
      <c r="J14" s="30"/>
      <c r="K14" s="14" t="n">
        <f aca="false">INDEX(Matriz!$C$7:$E$9,H14,I14)</f>
        <v>300</v>
      </c>
      <c r="L14" s="14" t="n">
        <f aca="false">IF(J14="",0,IF(J14&lt;Matriz!$B$14,Matriz!$C$13,IF(J14&lt;Matriz!$B$15,Matriz!$C$14,IF(J14&lt;Matriz!$B$16,Matriz!$C$15,Matriz!$C$16))))</f>
        <v>0</v>
      </c>
      <c r="M14" s="14" t="n">
        <f aca="false">IF(ISNUMBER(SEARCH("Seguridad",S14)),Matriz!$C$20,0)</f>
        <v>0</v>
      </c>
      <c r="N14" s="31" t="n">
        <f aca="false">K14+MIN(M14,Matriz!$C$24)</f>
        <v>300</v>
      </c>
      <c r="O14" s="33"/>
      <c r="P14" s="29" t="s">
        <v>133</v>
      </c>
      <c r="Q14" s="29" t="s">
        <v>134</v>
      </c>
      <c r="R14" s="27" t="s">
        <v>135</v>
      </c>
      <c r="S14" s="28" t="s">
        <v>136</v>
      </c>
      <c r="T14" s="1" t="s">
        <v>137</v>
      </c>
      <c r="U14" s="1" t="s">
        <v>138</v>
      </c>
    </row>
    <row r="15" customFormat="false" ht="15" hidden="false" customHeight="true" outlineLevel="0" collapsed="false">
      <c r="A15" s="14" t="n">
        <v>11</v>
      </c>
      <c r="B15" s="14" t="s">
        <v>130</v>
      </c>
      <c r="C15" s="14" t="s">
        <v>113</v>
      </c>
      <c r="D15" s="14" t="s">
        <v>139</v>
      </c>
      <c r="E15" s="14" t="s">
        <v>90</v>
      </c>
      <c r="F15" s="14" t="s">
        <v>140</v>
      </c>
      <c r="G15" s="29" t="s">
        <v>115</v>
      </c>
      <c r="H15" s="15" t="n">
        <v>2</v>
      </c>
      <c r="I15" s="15" t="n">
        <v>3</v>
      </c>
      <c r="J15" s="30"/>
      <c r="K15" s="14" t="n">
        <f aca="false">INDEX(Matriz!$C$7:$E$9,H15,I15)</f>
        <v>300</v>
      </c>
      <c r="L15" s="14" t="n">
        <f aca="false">IF(J15="",0,IF(J15&lt;Matriz!$B$14,Matriz!$C$13,IF(J15&lt;Matriz!$B$15,Matriz!$C$14,IF(J15&lt;Matriz!$B$16,Matriz!$C$15,Matriz!$C$16))))</f>
        <v>0</v>
      </c>
      <c r="M15" s="14" t="n">
        <f aca="false">IF(ISNUMBER(SEARCH("Seguridad",S15)),Matriz!$C$20,0)</f>
        <v>0</v>
      </c>
      <c r="N15" s="31" t="n">
        <f aca="false">K15+MIN(M15,Matriz!$C$24)</f>
        <v>300</v>
      </c>
      <c r="O15" s="33"/>
      <c r="P15" s="29" t="s">
        <v>141</v>
      </c>
      <c r="Q15" s="29" t="s">
        <v>142</v>
      </c>
      <c r="R15" s="27" t="s">
        <v>143</v>
      </c>
      <c r="S15" s="28" t="s">
        <v>144</v>
      </c>
      <c r="T15" s="1" t="s">
        <v>145</v>
      </c>
      <c r="U15" s="1" t="s">
        <v>146</v>
      </c>
    </row>
    <row r="16" customFormat="false" ht="15" hidden="false" customHeight="true" outlineLevel="0" collapsed="false">
      <c r="A16" s="14" t="n">
        <v>12</v>
      </c>
      <c r="B16" s="14" t="s">
        <v>147</v>
      </c>
      <c r="C16" s="14" t="s">
        <v>49</v>
      </c>
      <c r="D16" s="14" t="s">
        <v>148</v>
      </c>
      <c r="E16" s="14" t="s">
        <v>73</v>
      </c>
      <c r="F16" s="14" t="s">
        <v>74</v>
      </c>
      <c r="G16" s="29" t="s">
        <v>74</v>
      </c>
      <c r="H16" s="15" t="n">
        <v>3</v>
      </c>
      <c r="I16" s="15" t="n">
        <v>1</v>
      </c>
      <c r="J16" s="30"/>
      <c r="K16" s="14" t="n">
        <f aca="false">INDEX(Matriz!$C$7:$E$9,H16,I16)</f>
        <v>150</v>
      </c>
      <c r="L16" s="14" t="n">
        <f aca="false">IF(J16="",0,IF(J16&lt;Matriz!$B$14,Matriz!$C$13,IF(J16&lt;Matriz!$B$15,Matriz!$C$14,IF(J16&lt;Matriz!$B$16,Matriz!$C$15,Matriz!$C$16))))</f>
        <v>0</v>
      </c>
      <c r="M16" s="14" t="n">
        <f aca="false">IF(ISNUMBER(SEARCH("Seguridad",S16)),Matriz!$C$20,0)</f>
        <v>0</v>
      </c>
      <c r="N16" s="31" t="n">
        <f aca="false">K16+MIN(M16,Matriz!$C$24)</f>
        <v>150</v>
      </c>
      <c r="O16" s="33"/>
      <c r="P16" s="29" t="s">
        <v>149</v>
      </c>
      <c r="Q16" s="29" t="s">
        <v>150</v>
      </c>
      <c r="R16" s="27" t="s">
        <v>148</v>
      </c>
      <c r="S16" s="28" t="s">
        <v>151</v>
      </c>
      <c r="T16" s="1" t="s">
        <v>152</v>
      </c>
      <c r="U16" s="1" t="s">
        <v>153</v>
      </c>
    </row>
    <row r="17" customFormat="false" ht="15" hidden="false" customHeight="true" outlineLevel="0" collapsed="false">
      <c r="A17" s="14" t="n">
        <v>13</v>
      </c>
      <c r="B17" s="14" t="s">
        <v>154</v>
      </c>
      <c r="C17" s="14" t="s">
        <v>104</v>
      </c>
      <c r="D17" s="14" t="s">
        <v>155</v>
      </c>
      <c r="E17" s="14" t="s">
        <v>90</v>
      </c>
      <c r="F17" s="14" t="s">
        <v>106</v>
      </c>
      <c r="G17" s="29" t="s">
        <v>53</v>
      </c>
      <c r="H17" s="15" t="n">
        <v>3</v>
      </c>
      <c r="I17" s="15" t="n">
        <v>2</v>
      </c>
      <c r="J17" s="30"/>
      <c r="K17" s="14" t="n">
        <f aca="false">INDEX(Matriz!$C$7:$E$9,H17,I17)</f>
        <v>300</v>
      </c>
      <c r="L17" s="14" t="n">
        <f aca="false">IF(J17="",0,IF(J17&lt;Matriz!$B$14,Matriz!$C$13,IF(J17&lt;Matriz!$B$15,Matriz!$C$14,IF(J17&lt;Matriz!$B$16,Matriz!$C$15,Matriz!$C$16))))</f>
        <v>0</v>
      </c>
      <c r="M17" s="14" t="n">
        <f aca="false">IF(ISNUMBER(SEARCH("Seguridad",S17)),Matriz!$C$20,0)</f>
        <v>100</v>
      </c>
      <c r="N17" s="31" t="n">
        <f aca="false">K17+MIN(M17,Matriz!$C$24)</f>
        <v>400</v>
      </c>
      <c r="O17" s="33"/>
      <c r="P17" s="29" t="s">
        <v>156</v>
      </c>
      <c r="Q17" s="29" t="s">
        <v>157</v>
      </c>
      <c r="R17" s="27" t="s">
        <v>155</v>
      </c>
      <c r="S17" s="28" t="s">
        <v>158</v>
      </c>
      <c r="T17" s="1" t="s">
        <v>159</v>
      </c>
      <c r="U17" s="1" t="s">
        <v>160</v>
      </c>
    </row>
    <row r="18" customFormat="false" ht="15" hidden="false" customHeight="true" outlineLevel="0" collapsed="false">
      <c r="A18" s="14" t="n">
        <v>14</v>
      </c>
      <c r="B18" s="14" t="s">
        <v>161</v>
      </c>
      <c r="C18" s="14" t="s">
        <v>113</v>
      </c>
      <c r="D18" s="22" t="s">
        <v>162</v>
      </c>
      <c r="E18" s="14" t="s">
        <v>163</v>
      </c>
      <c r="F18" s="14" t="s">
        <v>74</v>
      </c>
      <c r="G18" s="29" t="s">
        <v>53</v>
      </c>
      <c r="H18" s="15" t="n">
        <v>2</v>
      </c>
      <c r="I18" s="15" t="n">
        <v>1</v>
      </c>
      <c r="J18" s="30"/>
      <c r="K18" s="14" t="n">
        <f aca="false">INDEX(Matriz!$C$7:$E$9,H18,I18)</f>
        <v>100</v>
      </c>
      <c r="L18" s="14" t="n">
        <f aca="false">IF(J18="",0,IF(J18&lt;Matriz!$B$14,Matriz!$C$13,IF(J18&lt;Matriz!$B$15,Matriz!$C$14,IF(J18&lt;Matriz!$B$16,Matriz!$C$15,Matriz!$C$16))))</f>
        <v>0</v>
      </c>
      <c r="M18" s="14" t="n">
        <f aca="false">IF(ISNUMBER(SEARCH("Seguridad",S18)),Matriz!$C$20,0)</f>
        <v>0</v>
      </c>
      <c r="N18" s="31" t="n">
        <f aca="false">K18+MIN(M18,Matriz!$C$24)</f>
        <v>100</v>
      </c>
      <c r="O18" s="33" t="s">
        <v>164</v>
      </c>
      <c r="P18" s="29" t="s">
        <v>165</v>
      </c>
      <c r="Q18" s="29" t="s">
        <v>166</v>
      </c>
      <c r="R18" s="27" t="s">
        <v>167</v>
      </c>
      <c r="S18" s="28" t="s">
        <v>168</v>
      </c>
      <c r="T18" s="1" t="s">
        <v>169</v>
      </c>
      <c r="U18" s="1" t="s">
        <v>170</v>
      </c>
    </row>
    <row r="19" customFormat="false" ht="15" hidden="false" customHeight="true" outlineLevel="0" collapsed="false">
      <c r="A19" s="14" t="n">
        <v>15</v>
      </c>
      <c r="B19" s="14" t="s">
        <v>171</v>
      </c>
      <c r="C19" s="14" t="s">
        <v>104</v>
      </c>
      <c r="D19" s="14" t="s">
        <v>172</v>
      </c>
      <c r="E19" s="14" t="s">
        <v>90</v>
      </c>
      <c r="F19" s="14" t="s">
        <v>173</v>
      </c>
      <c r="G19" s="29" t="s">
        <v>53</v>
      </c>
      <c r="H19" s="15" t="n">
        <v>3</v>
      </c>
      <c r="I19" s="15" t="n">
        <v>1</v>
      </c>
      <c r="J19" s="30"/>
      <c r="K19" s="14" t="n">
        <f aca="false">INDEX(Matriz!$C$7:$E$9,H19,I19)</f>
        <v>150</v>
      </c>
      <c r="L19" s="14" t="n">
        <f aca="false">IF(J19="",0,IF(J19&lt;Matriz!$B$14,Matriz!$C$13,IF(J19&lt;Matriz!$B$15,Matriz!$C$14,IF(J19&lt;Matriz!$B$16,Matriz!$C$15,Matriz!$C$16))))</f>
        <v>0</v>
      </c>
      <c r="M19" s="14" t="n">
        <f aca="false">IF(ISNUMBER(SEARCH("Seguridad",S19)),Matriz!$C$20,0)</f>
        <v>100</v>
      </c>
      <c r="N19" s="31" t="n">
        <f aca="false">K19+MIN(M19,Matriz!$C$24)</f>
        <v>250</v>
      </c>
      <c r="O19" s="33"/>
      <c r="P19" s="29" t="s">
        <v>174</v>
      </c>
      <c r="Q19" s="29" t="s">
        <v>175</v>
      </c>
      <c r="R19" s="27" t="s">
        <v>172</v>
      </c>
      <c r="S19" s="28" t="s">
        <v>53</v>
      </c>
      <c r="T19" s="1" t="s">
        <v>176</v>
      </c>
      <c r="U19" s="1" t="s">
        <v>177</v>
      </c>
    </row>
    <row r="20" customFormat="false" ht="15" hidden="false" customHeight="true" outlineLevel="0" collapsed="false">
      <c r="A20" s="14" t="n">
        <v>16</v>
      </c>
      <c r="B20" s="14" t="s">
        <v>178</v>
      </c>
      <c r="C20" s="14" t="s">
        <v>104</v>
      </c>
      <c r="D20" s="14" t="s">
        <v>98</v>
      </c>
      <c r="E20" s="14" t="s">
        <v>73</v>
      </c>
      <c r="F20" s="14" t="s">
        <v>99</v>
      </c>
      <c r="G20" s="29" t="s">
        <v>53</v>
      </c>
      <c r="H20" s="15" t="n">
        <v>3</v>
      </c>
      <c r="I20" s="15" t="n">
        <v>1</v>
      </c>
      <c r="J20" s="30"/>
      <c r="K20" s="14" t="n">
        <f aca="false">INDEX(Matriz!$C$7:$E$9,H20,I20)</f>
        <v>150</v>
      </c>
      <c r="L20" s="14" t="n">
        <f aca="false">IF(J20="",0,IF(J20&lt;Matriz!$B$14,Matriz!$C$13,IF(J20&lt;Matriz!$B$15,Matriz!$C$14,IF(J20&lt;Matriz!$B$16,Matriz!$C$15,Matriz!$C$16))))</f>
        <v>0</v>
      </c>
      <c r="M20" s="14" t="n">
        <f aca="false">IF(ISNUMBER(SEARCH("Seguridad",S20)),Matriz!$C$20,0)</f>
        <v>100</v>
      </c>
      <c r="N20" s="31" t="n">
        <f aca="false">K20+MIN(M20,Matriz!$C$24)</f>
        <v>250</v>
      </c>
      <c r="O20" s="33"/>
      <c r="P20" s="29" t="s">
        <v>179</v>
      </c>
      <c r="Q20" s="29" t="s">
        <v>180</v>
      </c>
      <c r="R20" s="27" t="s">
        <v>98</v>
      </c>
      <c r="S20" s="28" t="s">
        <v>181</v>
      </c>
      <c r="T20" s="1" t="s">
        <v>182</v>
      </c>
      <c r="U20" s="1" t="s">
        <v>102</v>
      </c>
    </row>
    <row r="21" customFormat="false" ht="15" hidden="false" customHeight="true" outlineLevel="0" collapsed="false">
      <c r="A21" s="14" t="n">
        <v>17</v>
      </c>
      <c r="B21" s="14" t="s">
        <v>112</v>
      </c>
      <c r="C21" s="14" t="s">
        <v>113</v>
      </c>
      <c r="D21" s="14" t="s">
        <v>183</v>
      </c>
      <c r="E21" s="14" t="s">
        <v>51</v>
      </c>
      <c r="F21" s="14" t="s">
        <v>132</v>
      </c>
      <c r="G21" s="29" t="s">
        <v>115</v>
      </c>
      <c r="H21" s="15" t="n">
        <v>2</v>
      </c>
      <c r="I21" s="15" t="n">
        <v>2</v>
      </c>
      <c r="J21" s="30"/>
      <c r="K21" s="14" t="n">
        <f aca="false">INDEX(Matriz!$C$7:$E$9,H21,I21)</f>
        <v>200</v>
      </c>
      <c r="L21" s="14" t="n">
        <f aca="false">IF(J21="",0,IF(J21&lt;Matriz!$B$14,Matriz!$C$13,IF(J21&lt;Matriz!$B$15,Matriz!$C$14,IF(J21&lt;Matriz!$B$16,Matriz!$C$15,Matriz!$C$16))))</f>
        <v>0</v>
      </c>
      <c r="M21" s="14" t="n">
        <f aca="false">IF(ISNUMBER(SEARCH("Seguridad",S21)),Matriz!$C$20,0)</f>
        <v>0</v>
      </c>
      <c r="N21" s="31" t="n">
        <f aca="false">K21+MIN(M21,Matriz!$C$24)</f>
        <v>200</v>
      </c>
      <c r="O21" s="33"/>
      <c r="P21" s="29" t="s">
        <v>184</v>
      </c>
      <c r="Q21" s="29" t="s">
        <v>185</v>
      </c>
      <c r="R21" s="27" t="s">
        <v>186</v>
      </c>
      <c r="S21" s="28" t="s">
        <v>187</v>
      </c>
      <c r="T21" s="1" t="s">
        <v>188</v>
      </c>
      <c r="U21" s="1" t="s">
        <v>189</v>
      </c>
    </row>
    <row r="22" customFormat="false" ht="15" hidden="false" customHeight="true" outlineLevel="0" collapsed="false">
      <c r="A22" s="14" t="n">
        <v>18</v>
      </c>
      <c r="B22" s="14" t="s">
        <v>190</v>
      </c>
      <c r="C22" s="14" t="s">
        <v>104</v>
      </c>
      <c r="D22" s="14" t="s">
        <v>191</v>
      </c>
      <c r="E22" s="14" t="s">
        <v>51</v>
      </c>
      <c r="F22" s="14" t="s">
        <v>74</v>
      </c>
      <c r="G22" s="29" t="s">
        <v>74</v>
      </c>
      <c r="H22" s="15" t="n">
        <v>3</v>
      </c>
      <c r="I22" s="15" t="n">
        <v>1</v>
      </c>
      <c r="J22" s="30"/>
      <c r="K22" s="14" t="n">
        <f aca="false">INDEX(Matriz!$C$7:$E$9,H22,I22)</f>
        <v>150</v>
      </c>
      <c r="L22" s="14" t="n">
        <f aca="false">IF(J22="",0,IF(J22&lt;Matriz!$B$14,Matriz!$C$13,IF(J22&lt;Matriz!$B$15,Matriz!$C$14,IF(J22&lt;Matriz!$B$16,Matriz!$C$15,Matriz!$C$16))))</f>
        <v>0</v>
      </c>
      <c r="M22" s="14" t="n">
        <f aca="false">IF(ISNUMBER(SEARCH("Seguridad",S22)),Matriz!$C$20,0)</f>
        <v>0</v>
      </c>
      <c r="N22" s="31" t="n">
        <f aca="false">K22+MIN(M22,Matriz!$C$24)</f>
        <v>150</v>
      </c>
      <c r="O22" s="33"/>
      <c r="P22" s="29" t="s">
        <v>192</v>
      </c>
      <c r="Q22" s="29" t="s">
        <v>193</v>
      </c>
      <c r="R22" s="27" t="s">
        <v>194</v>
      </c>
      <c r="S22" s="28" t="s">
        <v>195</v>
      </c>
      <c r="T22" s="1" t="s">
        <v>196</v>
      </c>
      <c r="U22" s="1" t="s">
        <v>197</v>
      </c>
    </row>
    <row r="23" customFormat="false" ht="15" hidden="false" customHeight="true" outlineLevel="0" collapsed="false">
      <c r="A23" s="14" t="n">
        <v>19</v>
      </c>
      <c r="B23" s="14" t="s">
        <v>190</v>
      </c>
      <c r="C23" s="14" t="s">
        <v>104</v>
      </c>
      <c r="D23" s="14" t="s">
        <v>198</v>
      </c>
      <c r="E23" s="14" t="s">
        <v>51</v>
      </c>
      <c r="F23" s="14" t="s">
        <v>173</v>
      </c>
      <c r="G23" s="29" t="s">
        <v>115</v>
      </c>
      <c r="H23" s="15" t="n">
        <v>3</v>
      </c>
      <c r="I23" s="15" t="n">
        <v>1</v>
      </c>
      <c r="J23" s="30"/>
      <c r="K23" s="14" t="n">
        <f aca="false">INDEX(Matriz!$C$7:$E$9,H23,I23)</f>
        <v>150</v>
      </c>
      <c r="L23" s="14" t="n">
        <f aca="false">IF(J23="",0,IF(J23&lt;Matriz!$B$14,Matriz!$C$13,IF(J23&lt;Matriz!$B$15,Matriz!$C$14,IF(J23&lt;Matriz!$B$16,Matriz!$C$15,Matriz!$C$16))))</f>
        <v>0</v>
      </c>
      <c r="M23" s="14" t="n">
        <f aca="false">IF(ISNUMBER(SEARCH("Seguridad",S23)),Matriz!$C$20,0)</f>
        <v>0</v>
      </c>
      <c r="N23" s="31" t="n">
        <f aca="false">K23+MIN(M23,Matriz!$C$24)</f>
        <v>150</v>
      </c>
      <c r="O23" s="33"/>
      <c r="P23" s="29" t="s">
        <v>199</v>
      </c>
      <c r="Q23" s="29" t="s">
        <v>200</v>
      </c>
      <c r="R23" s="27" t="s">
        <v>201</v>
      </c>
      <c r="S23" s="28" t="s">
        <v>202</v>
      </c>
      <c r="T23" s="1" t="s">
        <v>203</v>
      </c>
      <c r="U23" s="1" t="s">
        <v>204</v>
      </c>
    </row>
    <row r="24" customFormat="false" ht="15" hidden="false" customHeight="true" outlineLevel="0" collapsed="false">
      <c r="A24" s="14" t="n">
        <v>20</v>
      </c>
      <c r="B24" s="14" t="s">
        <v>205</v>
      </c>
      <c r="C24" s="14" t="s">
        <v>113</v>
      </c>
      <c r="D24" s="14" t="s">
        <v>206</v>
      </c>
      <c r="E24" s="14" t="s">
        <v>51</v>
      </c>
      <c r="F24" s="14" t="s">
        <v>132</v>
      </c>
      <c r="G24" s="29" t="s">
        <v>74</v>
      </c>
      <c r="H24" s="15" t="n">
        <v>3</v>
      </c>
      <c r="I24" s="15" t="n">
        <v>1</v>
      </c>
      <c r="J24" s="30"/>
      <c r="K24" s="14" t="n">
        <f aca="false">INDEX(Matriz!$C$7:$E$9,H24,I24)</f>
        <v>150</v>
      </c>
      <c r="L24" s="14" t="n">
        <f aca="false">IF(J24="",0,IF(J24&lt;Matriz!$B$14,Matriz!$C$13,IF(J24&lt;Matriz!$B$15,Matriz!$C$14,IF(J24&lt;Matriz!$B$16,Matriz!$C$15,Matriz!$C$16))))</f>
        <v>0</v>
      </c>
      <c r="M24" s="14" t="n">
        <f aca="false">IF(ISNUMBER(SEARCH("Seguridad",S24)),Matriz!$C$20,0)</f>
        <v>0</v>
      </c>
      <c r="N24" s="31" t="n">
        <f aca="false">K24+MIN(M24,Matriz!$C$24)</f>
        <v>150</v>
      </c>
      <c r="O24" s="33"/>
      <c r="P24" s="29" t="s">
        <v>207</v>
      </c>
      <c r="Q24" s="29" t="s">
        <v>208</v>
      </c>
      <c r="R24" s="27" t="s">
        <v>209</v>
      </c>
      <c r="S24" s="28" t="s">
        <v>210</v>
      </c>
      <c r="T24" s="1" t="s">
        <v>211</v>
      </c>
      <c r="U24" s="1" t="s">
        <v>212</v>
      </c>
    </row>
    <row r="25" customFormat="false" ht="15" hidden="false" customHeight="true" outlineLevel="0" collapsed="false">
      <c r="A25" s="14" t="n">
        <v>21</v>
      </c>
      <c r="B25" s="14" t="s">
        <v>103</v>
      </c>
      <c r="C25" s="14" t="s">
        <v>104</v>
      </c>
      <c r="D25" s="14" t="s">
        <v>213</v>
      </c>
      <c r="E25" s="14" t="s">
        <v>51</v>
      </c>
      <c r="F25" s="14" t="s">
        <v>74</v>
      </c>
      <c r="G25" s="29" t="s">
        <v>74</v>
      </c>
      <c r="H25" s="15" t="n">
        <v>3</v>
      </c>
      <c r="I25" s="15" t="n">
        <v>1</v>
      </c>
      <c r="J25" s="30"/>
      <c r="K25" s="14" t="n">
        <f aca="false">INDEX(Matriz!$C$7:$E$9,H25,I25)</f>
        <v>150</v>
      </c>
      <c r="L25" s="14" t="n">
        <f aca="false">IF(J25="",0,IF(J25&lt;Matriz!$B$14,Matriz!$C$13,IF(J25&lt;Matriz!$B$15,Matriz!$C$14,IF(J25&lt;Matriz!$B$16,Matriz!$C$15,Matriz!$C$16))))</f>
        <v>0</v>
      </c>
      <c r="M25" s="14" t="n">
        <f aca="false">IF(ISNUMBER(SEARCH("Seguridad",S25)),Matriz!$C$20,0)</f>
        <v>0</v>
      </c>
      <c r="N25" s="31" t="n">
        <f aca="false">K25+MIN(M25,Matriz!$C$24)</f>
        <v>150</v>
      </c>
      <c r="O25" s="32" t="s">
        <v>214</v>
      </c>
      <c r="P25" s="29" t="s">
        <v>215</v>
      </c>
      <c r="Q25" s="29" t="s">
        <v>216</v>
      </c>
      <c r="R25" s="27" t="s">
        <v>217</v>
      </c>
      <c r="S25" s="28" t="s">
        <v>218</v>
      </c>
      <c r="T25" s="1" t="s">
        <v>219</v>
      </c>
      <c r="U25" s="1" t="s">
        <v>220</v>
      </c>
    </row>
    <row r="26" customFormat="false" ht="15" hidden="false" customHeight="true" outlineLevel="0" collapsed="false">
      <c r="A26" s="14" t="n">
        <v>22</v>
      </c>
      <c r="B26" s="14" t="s">
        <v>221</v>
      </c>
      <c r="C26" s="14" t="s">
        <v>113</v>
      </c>
      <c r="D26" s="14" t="s">
        <v>222</v>
      </c>
      <c r="E26" s="14" t="s">
        <v>51</v>
      </c>
      <c r="F26" s="14" t="s">
        <v>99</v>
      </c>
      <c r="G26" s="29" t="s">
        <v>115</v>
      </c>
      <c r="H26" s="15" t="n">
        <v>2</v>
      </c>
      <c r="I26" s="15" t="n">
        <v>3</v>
      </c>
      <c r="J26" s="30"/>
      <c r="K26" s="14" t="n">
        <f aca="false">INDEX(Matriz!$C$7:$E$9,H26,I26)</f>
        <v>300</v>
      </c>
      <c r="L26" s="14" t="n">
        <f aca="false">IF(J26="",0,IF(J26&lt;Matriz!$B$14,Matriz!$C$13,IF(J26&lt;Matriz!$B$15,Matriz!$C$14,IF(J26&lt;Matriz!$B$16,Matriz!$C$15,Matriz!$C$16))))</f>
        <v>0</v>
      </c>
      <c r="M26" s="14" t="n">
        <f aca="false">IF(ISNUMBER(SEARCH("Seguridad",S26)),Matriz!$C$20,0)</f>
        <v>0</v>
      </c>
      <c r="N26" s="31" t="n">
        <f aca="false">K26+MIN(M26,Matriz!$C$24)</f>
        <v>300</v>
      </c>
      <c r="O26" s="33"/>
      <c r="P26" s="29" t="s">
        <v>223</v>
      </c>
      <c r="Q26" s="29" t="s">
        <v>224</v>
      </c>
      <c r="R26" s="27" t="s">
        <v>222</v>
      </c>
      <c r="S26" s="28" t="s">
        <v>187</v>
      </c>
      <c r="T26" s="1" t="s">
        <v>225</v>
      </c>
      <c r="U26" s="1" t="s">
        <v>226</v>
      </c>
    </row>
    <row r="27" customFormat="false" ht="15" hidden="false" customHeight="true" outlineLevel="0" collapsed="false">
      <c r="A27" s="14" t="n">
        <v>23</v>
      </c>
      <c r="B27" s="14" t="s">
        <v>227</v>
      </c>
      <c r="C27" s="14" t="s">
        <v>113</v>
      </c>
      <c r="D27" s="14" t="s">
        <v>228</v>
      </c>
      <c r="E27" s="14" t="s">
        <v>51</v>
      </c>
      <c r="F27" s="14" t="s">
        <v>99</v>
      </c>
      <c r="G27" s="29" t="s">
        <v>115</v>
      </c>
      <c r="H27" s="15" t="n">
        <v>2</v>
      </c>
      <c r="I27" s="15" t="n">
        <v>2</v>
      </c>
      <c r="J27" s="30"/>
      <c r="K27" s="14" t="n">
        <f aca="false">INDEX(Matriz!$C$7:$E$9,H27,I27)</f>
        <v>200</v>
      </c>
      <c r="L27" s="14" t="n">
        <f aca="false">IF(J27="",0,IF(J27&lt;Matriz!$B$14,Matriz!$C$13,IF(J27&lt;Matriz!$B$15,Matriz!$C$14,IF(J27&lt;Matriz!$B$16,Matriz!$C$15,Matriz!$C$16))))</f>
        <v>0</v>
      </c>
      <c r="M27" s="14" t="n">
        <f aca="false">IF(ISNUMBER(SEARCH("Seguridad",S27)),Matriz!$C$20,0)</f>
        <v>0</v>
      </c>
      <c r="N27" s="31" t="n">
        <f aca="false">K27+MIN(M27,Matriz!$C$24)</f>
        <v>200</v>
      </c>
      <c r="O27" s="33"/>
      <c r="P27" s="29" t="s">
        <v>229</v>
      </c>
      <c r="Q27" s="29" t="s">
        <v>230</v>
      </c>
      <c r="R27" s="27" t="s">
        <v>231</v>
      </c>
      <c r="S27" s="28" t="s">
        <v>232</v>
      </c>
      <c r="T27" s="1" t="s">
        <v>233</v>
      </c>
      <c r="U27" s="1" t="s">
        <v>234</v>
      </c>
    </row>
    <row r="28" customFormat="false" ht="15" hidden="false" customHeight="true" outlineLevel="0" collapsed="false">
      <c r="A28" s="14" t="n">
        <v>24</v>
      </c>
      <c r="B28" s="14" t="s">
        <v>235</v>
      </c>
      <c r="C28" s="14" t="s">
        <v>113</v>
      </c>
      <c r="D28" s="14" t="s">
        <v>198</v>
      </c>
      <c r="E28" s="14" t="s">
        <v>51</v>
      </c>
      <c r="F28" s="14" t="s">
        <v>173</v>
      </c>
      <c r="G28" s="29" t="s">
        <v>63</v>
      </c>
      <c r="H28" s="15" t="n">
        <v>3</v>
      </c>
      <c r="I28" s="15" t="n">
        <v>2</v>
      </c>
      <c r="J28" s="30"/>
      <c r="K28" s="14" t="n">
        <f aca="false">INDEX(Matriz!$C$7:$E$9,H28,I28)</f>
        <v>300</v>
      </c>
      <c r="L28" s="14" t="n">
        <f aca="false">IF(J28="",0,IF(J28&lt;Matriz!$B$14,Matriz!$C$13,IF(J28&lt;Matriz!$B$15,Matriz!$C$14,IF(J28&lt;Matriz!$B$16,Matriz!$C$15,Matriz!$C$16))))</f>
        <v>0</v>
      </c>
      <c r="M28" s="14" t="n">
        <f aca="false">IF(ISNUMBER(SEARCH("Seguridad",S28)),Matriz!$C$20,0)</f>
        <v>0</v>
      </c>
      <c r="N28" s="31" t="n">
        <f aca="false">K28+MIN(M28,Matriz!$C$24)</f>
        <v>300</v>
      </c>
      <c r="O28" s="33"/>
      <c r="P28" s="29" t="s">
        <v>236</v>
      </c>
      <c r="Q28" s="29" t="s">
        <v>237</v>
      </c>
      <c r="R28" s="27" t="s">
        <v>201</v>
      </c>
      <c r="S28" s="28" t="s">
        <v>68</v>
      </c>
      <c r="T28" s="1" t="s">
        <v>238</v>
      </c>
      <c r="U28" s="1" t="s">
        <v>204</v>
      </c>
    </row>
    <row r="29" customFormat="false" ht="15" hidden="false" customHeight="true" outlineLevel="0" collapsed="false">
      <c r="A29" s="14" t="n">
        <v>25</v>
      </c>
      <c r="B29" s="14" t="s">
        <v>235</v>
      </c>
      <c r="C29" s="14" t="s">
        <v>113</v>
      </c>
      <c r="D29" s="14" t="s">
        <v>239</v>
      </c>
      <c r="E29" s="14" t="s">
        <v>51</v>
      </c>
      <c r="F29" s="14" t="s">
        <v>240</v>
      </c>
      <c r="G29" s="29" t="s">
        <v>53</v>
      </c>
      <c r="H29" s="15" t="n">
        <v>3</v>
      </c>
      <c r="I29" s="15" t="n">
        <v>2</v>
      </c>
      <c r="J29" s="30"/>
      <c r="K29" s="14" t="n">
        <f aca="false">INDEX(Matriz!$C$7:$E$9,H29,I29)</f>
        <v>300</v>
      </c>
      <c r="L29" s="14" t="n">
        <f aca="false">IF(J29="",0,IF(J29&lt;Matriz!$B$14,Matriz!$C$13,IF(J29&lt;Matriz!$B$15,Matriz!$C$14,IF(J29&lt;Matriz!$B$16,Matriz!$C$15,Matriz!$C$16))))</f>
        <v>0</v>
      </c>
      <c r="M29" s="14" t="n">
        <f aca="false">IF(ISNUMBER(SEARCH("Seguridad",S29)),Matriz!$C$20,0)</f>
        <v>100</v>
      </c>
      <c r="N29" s="31" t="n">
        <f aca="false">K29+MIN(M29,Matriz!$C$24)</f>
        <v>400</v>
      </c>
      <c r="O29" s="32" t="s">
        <v>241</v>
      </c>
      <c r="P29" s="29" t="s">
        <v>242</v>
      </c>
      <c r="Q29" s="29" t="s">
        <v>243</v>
      </c>
      <c r="R29" s="27" t="s">
        <v>244</v>
      </c>
      <c r="S29" s="28" t="s">
        <v>53</v>
      </c>
      <c r="T29" s="1" t="s">
        <v>245</v>
      </c>
      <c r="U29" s="1"/>
    </row>
    <row r="30" customFormat="false" ht="15" hidden="false" customHeight="true" outlineLevel="0" collapsed="false">
      <c r="A30" s="14" t="n">
        <v>26</v>
      </c>
      <c r="B30" s="14" t="s">
        <v>246</v>
      </c>
      <c r="C30" s="14" t="s">
        <v>104</v>
      </c>
      <c r="D30" s="14" t="s">
        <v>247</v>
      </c>
      <c r="E30" s="14" t="s">
        <v>51</v>
      </c>
      <c r="F30" s="14" t="s">
        <v>248</v>
      </c>
      <c r="G30" s="29" t="s">
        <v>74</v>
      </c>
      <c r="H30" s="15" t="n">
        <v>3</v>
      </c>
      <c r="I30" s="15" t="n">
        <v>2</v>
      </c>
      <c r="J30" s="30"/>
      <c r="K30" s="14" t="n">
        <f aca="false">INDEX(Matriz!$C$7:$E$9,H30,I30)</f>
        <v>300</v>
      </c>
      <c r="L30" s="14" t="n">
        <f aca="false">IF(J30="",0,IF(J30&lt;Matriz!$B$14,Matriz!$C$13,IF(J30&lt;Matriz!$B$15,Matriz!$C$14,IF(J30&lt;Matriz!$B$16,Matriz!$C$15,Matriz!$C$16))))</f>
        <v>0</v>
      </c>
      <c r="M30" s="14" t="n">
        <f aca="false">IF(ISNUMBER(SEARCH("Seguridad",S30)),Matriz!$C$20,0)</f>
        <v>0</v>
      </c>
      <c r="N30" s="31" t="n">
        <f aca="false">K30+MIN(M30,Matriz!$C$24)</f>
        <v>300</v>
      </c>
      <c r="O30" s="33"/>
      <c r="P30" s="29" t="s">
        <v>249</v>
      </c>
      <c r="Q30" s="29" t="s">
        <v>250</v>
      </c>
      <c r="R30" s="27" t="s">
        <v>251</v>
      </c>
      <c r="S30" s="28" t="s">
        <v>252</v>
      </c>
      <c r="T30" s="1" t="s">
        <v>253</v>
      </c>
      <c r="U30" s="1" t="s">
        <v>254</v>
      </c>
    </row>
    <row r="31" customFormat="false" ht="15" hidden="false" customHeight="true" outlineLevel="0" collapsed="false">
      <c r="A31" s="14" t="n">
        <v>27</v>
      </c>
      <c r="B31" s="14" t="s">
        <v>255</v>
      </c>
      <c r="C31" s="14" t="s">
        <v>104</v>
      </c>
      <c r="D31" s="14" t="s">
        <v>256</v>
      </c>
      <c r="E31" s="14" t="s">
        <v>90</v>
      </c>
      <c r="F31" s="14" t="s">
        <v>257</v>
      </c>
      <c r="G31" s="29" t="s">
        <v>53</v>
      </c>
      <c r="H31" s="15" t="n">
        <v>3</v>
      </c>
      <c r="I31" s="15" t="n">
        <v>2</v>
      </c>
      <c r="J31" s="30"/>
      <c r="K31" s="14" t="n">
        <f aca="false">INDEX(Matriz!$C$7:$E$9,H31,I31)</f>
        <v>300</v>
      </c>
      <c r="L31" s="14" t="n">
        <f aca="false">IF(J31="",0,IF(J31&lt;Matriz!$B$14,Matriz!$C$13,IF(J31&lt;Matriz!$B$15,Matriz!$C$14,IF(J31&lt;Matriz!$B$16,Matriz!$C$15,Matriz!$C$16))))</f>
        <v>0</v>
      </c>
      <c r="M31" s="14" t="n">
        <f aca="false">IF(ISNUMBER(SEARCH("Seguridad",S31)),Matriz!$C$20,0)</f>
        <v>100</v>
      </c>
      <c r="N31" s="31" t="n">
        <f aca="false">K31+MIN(M31,Matriz!$C$24)</f>
        <v>400</v>
      </c>
      <c r="O31" s="33"/>
      <c r="P31" s="29" t="s">
        <v>258</v>
      </c>
      <c r="Q31" s="29" t="s">
        <v>259</v>
      </c>
      <c r="R31" s="27" t="s">
        <v>260</v>
      </c>
      <c r="S31" s="28" t="s">
        <v>53</v>
      </c>
      <c r="T31" s="1" t="s">
        <v>261</v>
      </c>
      <c r="U31" s="1" t="s">
        <v>262</v>
      </c>
    </row>
    <row r="32" customFormat="false" ht="15" hidden="false" customHeight="true" outlineLevel="0" collapsed="false">
      <c r="A32" s="14" t="n">
        <v>28</v>
      </c>
      <c r="B32" s="14" t="s">
        <v>263</v>
      </c>
      <c r="C32" s="14" t="s">
        <v>104</v>
      </c>
      <c r="D32" s="14" t="s">
        <v>264</v>
      </c>
      <c r="E32" s="14" t="s">
        <v>51</v>
      </c>
      <c r="F32" s="14" t="s">
        <v>106</v>
      </c>
      <c r="G32" s="29" t="s">
        <v>63</v>
      </c>
      <c r="H32" s="15" t="n">
        <v>3</v>
      </c>
      <c r="I32" s="15" t="n">
        <v>3</v>
      </c>
      <c r="J32" s="30"/>
      <c r="K32" s="14" t="n">
        <f aca="false">INDEX(Matriz!$C$7:$E$9,H32,I32)</f>
        <v>450</v>
      </c>
      <c r="L32" s="14" t="n">
        <f aca="false">IF(J32="",0,IF(J32&lt;Matriz!$B$14,Matriz!$C$13,IF(J32&lt;Matriz!$B$15,Matriz!$C$14,IF(J32&lt;Matriz!$B$16,Matriz!$C$15,Matriz!$C$16))))</f>
        <v>0</v>
      </c>
      <c r="M32" s="14" t="n">
        <f aca="false">IF(ISNUMBER(SEARCH("Seguridad",S32)),Matriz!$C$20,0)</f>
        <v>0</v>
      </c>
      <c r="N32" s="31" t="n">
        <f aca="false">K32+MIN(M32,Matriz!$C$24)</f>
        <v>450</v>
      </c>
      <c r="O32" s="32" t="s">
        <v>265</v>
      </c>
      <c r="P32" s="29" t="s">
        <v>266</v>
      </c>
      <c r="Q32" s="29" t="s">
        <v>267</v>
      </c>
      <c r="R32" s="27" t="s">
        <v>109</v>
      </c>
      <c r="S32" s="28" t="s">
        <v>68</v>
      </c>
      <c r="T32" s="1" t="s">
        <v>268</v>
      </c>
      <c r="U32" s="1" t="s">
        <v>269</v>
      </c>
    </row>
    <row r="33" customFormat="false" ht="15" hidden="false" customHeight="true" outlineLevel="0" collapsed="false">
      <c r="A33" s="14" t="n">
        <v>29</v>
      </c>
      <c r="B33" s="14" t="s">
        <v>270</v>
      </c>
      <c r="C33" s="14" t="s">
        <v>113</v>
      </c>
      <c r="D33" s="14" t="s">
        <v>271</v>
      </c>
      <c r="E33" s="14" t="s">
        <v>163</v>
      </c>
      <c r="F33" s="14" t="s">
        <v>140</v>
      </c>
      <c r="G33" s="29" t="s">
        <v>63</v>
      </c>
      <c r="H33" s="15" t="n">
        <v>3</v>
      </c>
      <c r="I33" s="15" t="n">
        <v>3</v>
      </c>
      <c r="J33" s="30"/>
      <c r="K33" s="14" t="n">
        <f aca="false">INDEX(Matriz!$C$7:$E$9,H33,I33)</f>
        <v>450</v>
      </c>
      <c r="L33" s="14" t="n">
        <f aca="false">IF(J33="",0,IF(J33&lt;Matriz!$B$14,Matriz!$C$13,IF(J33&lt;Matriz!$B$15,Matriz!$C$14,IF(J33&lt;Matriz!$B$16,Matriz!$C$15,Matriz!$C$16))))</f>
        <v>0</v>
      </c>
      <c r="M33" s="14" t="n">
        <f aca="false">IF(ISNUMBER(SEARCH("Seguridad",S33)),Matriz!$C$20,0)</f>
        <v>0</v>
      </c>
      <c r="N33" s="31" t="n">
        <f aca="false">K33+MIN(M33,Matriz!$C$24)</f>
        <v>450</v>
      </c>
      <c r="O33" s="33"/>
      <c r="P33" s="29" t="s">
        <v>272</v>
      </c>
      <c r="Q33" s="29" t="s">
        <v>273</v>
      </c>
      <c r="R33" s="27" t="s">
        <v>274</v>
      </c>
      <c r="S33" s="28" t="s">
        <v>68</v>
      </c>
      <c r="T33" s="1" t="s">
        <v>275</v>
      </c>
      <c r="U33" s="1" t="s">
        <v>276</v>
      </c>
    </row>
    <row r="34" customFormat="false" ht="15" hidden="false" customHeight="true" outlineLevel="0" collapsed="false">
      <c r="A34" s="14" t="n">
        <v>30</v>
      </c>
      <c r="B34" s="14" t="s">
        <v>235</v>
      </c>
      <c r="C34" s="14" t="s">
        <v>113</v>
      </c>
      <c r="D34" s="14" t="s">
        <v>277</v>
      </c>
      <c r="E34" s="14" t="s">
        <v>51</v>
      </c>
      <c r="F34" s="14" t="s">
        <v>257</v>
      </c>
      <c r="G34" s="29" t="s">
        <v>53</v>
      </c>
      <c r="H34" s="15" t="n">
        <v>3</v>
      </c>
      <c r="I34" s="15" t="n">
        <v>2</v>
      </c>
      <c r="J34" s="30"/>
      <c r="K34" s="14" t="n">
        <f aca="false">INDEX(Matriz!$C$7:$E$9,H34,I34)</f>
        <v>300</v>
      </c>
      <c r="L34" s="14" t="n">
        <f aca="false">IF(J34="",0,IF(J34&lt;Matriz!$B$14,Matriz!$C$13,IF(J34&lt;Matriz!$B$15,Matriz!$C$14,IF(J34&lt;Matriz!$B$16,Matriz!$C$15,Matriz!$C$16))))</f>
        <v>0</v>
      </c>
      <c r="M34" s="14" t="n">
        <f aca="false">IF(ISNUMBER(SEARCH("Seguridad",S34)),Matriz!$C$20,0)</f>
        <v>100</v>
      </c>
      <c r="N34" s="31" t="n">
        <f aca="false">K34+MIN(M34,Matriz!$C$24)</f>
        <v>400</v>
      </c>
      <c r="O34" s="33"/>
      <c r="P34" s="29" t="s">
        <v>278</v>
      </c>
      <c r="Q34" s="29" t="s">
        <v>279</v>
      </c>
      <c r="R34" s="27" t="s">
        <v>244</v>
      </c>
      <c r="S34" s="28" t="s">
        <v>280</v>
      </c>
      <c r="T34" s="1"/>
      <c r="U34" s="1" t="s">
        <v>281</v>
      </c>
    </row>
    <row r="35" customFormat="false" ht="15" hidden="false" customHeight="true" outlineLevel="0" collapsed="false">
      <c r="A35" s="14" t="n">
        <v>31</v>
      </c>
      <c r="B35" s="14" t="s">
        <v>270</v>
      </c>
      <c r="C35" s="14" t="s">
        <v>113</v>
      </c>
      <c r="D35" s="14" t="s">
        <v>282</v>
      </c>
      <c r="E35" s="14" t="s">
        <v>51</v>
      </c>
      <c r="F35" s="14" t="s">
        <v>140</v>
      </c>
      <c r="G35" s="29" t="s">
        <v>115</v>
      </c>
      <c r="H35" s="15" t="n">
        <v>3</v>
      </c>
      <c r="I35" s="15" t="n">
        <v>3</v>
      </c>
      <c r="J35" s="30"/>
      <c r="K35" s="14" t="n">
        <f aca="false">INDEX(Matriz!$C$7:$E$9,H35,I35)</f>
        <v>450</v>
      </c>
      <c r="L35" s="14" t="n">
        <f aca="false">IF(J35="",0,IF(J35&lt;Matriz!$B$14,Matriz!$C$13,IF(J35&lt;Matriz!$B$15,Matriz!$C$14,IF(J35&lt;Matriz!$B$16,Matriz!$C$15,Matriz!$C$16))))</f>
        <v>0</v>
      </c>
      <c r="M35" s="14" t="n">
        <f aca="false">IF(ISNUMBER(SEARCH("Seguridad",S35)),Matriz!$C$20,0)</f>
        <v>0</v>
      </c>
      <c r="N35" s="31" t="n">
        <f aca="false">K35+MIN(M35,Matriz!$C$24)</f>
        <v>450</v>
      </c>
      <c r="O35" s="33"/>
      <c r="P35" s="29" t="s">
        <v>283</v>
      </c>
      <c r="Q35" s="29" t="s">
        <v>284</v>
      </c>
      <c r="R35" s="27" t="s">
        <v>285</v>
      </c>
      <c r="S35" s="28" t="s">
        <v>286</v>
      </c>
      <c r="T35" s="1" t="s">
        <v>287</v>
      </c>
      <c r="U35" s="1" t="s">
        <v>288</v>
      </c>
    </row>
    <row r="36" customFormat="false" ht="15" hidden="false" customHeight="true" outlineLevel="0" collapsed="false">
      <c r="A36" s="14" t="n">
        <v>32</v>
      </c>
      <c r="B36" s="14" t="s">
        <v>161</v>
      </c>
      <c r="C36" s="14" t="s">
        <v>113</v>
      </c>
      <c r="D36" s="14" t="s">
        <v>256</v>
      </c>
      <c r="E36" s="14" t="s">
        <v>90</v>
      </c>
      <c r="F36" s="14" t="s">
        <v>257</v>
      </c>
      <c r="G36" s="29" t="s">
        <v>53</v>
      </c>
      <c r="H36" s="15" t="n">
        <v>3</v>
      </c>
      <c r="I36" s="15" t="n">
        <v>2</v>
      </c>
      <c r="J36" s="30"/>
      <c r="K36" s="14" t="n">
        <f aca="false">INDEX(Matriz!$C$7:$E$9,H36,I36)</f>
        <v>300</v>
      </c>
      <c r="L36" s="14" t="n">
        <f aca="false">IF(J36="",0,IF(J36&lt;Matriz!$B$14,Matriz!$C$13,IF(J36&lt;Matriz!$B$15,Matriz!$C$14,IF(J36&lt;Matriz!$B$16,Matriz!$C$15,Matriz!$C$16))))</f>
        <v>0</v>
      </c>
      <c r="M36" s="14" t="n">
        <f aca="false">IF(ISNUMBER(SEARCH("Seguridad",S36)),Matriz!$C$20,0)</f>
        <v>100</v>
      </c>
      <c r="N36" s="31" t="n">
        <f aca="false">K36+MIN(M36,Matriz!$C$24)</f>
        <v>400</v>
      </c>
      <c r="O36" s="33"/>
      <c r="P36" s="29" t="s">
        <v>289</v>
      </c>
      <c r="Q36" s="29" t="s">
        <v>290</v>
      </c>
      <c r="R36" s="27" t="s">
        <v>260</v>
      </c>
      <c r="S36" s="28" t="s">
        <v>291</v>
      </c>
      <c r="T36" s="1" t="s">
        <v>292</v>
      </c>
      <c r="U36" s="1" t="s">
        <v>262</v>
      </c>
    </row>
    <row r="37" customFormat="false" ht="15" hidden="false" customHeight="true" outlineLevel="0" collapsed="false">
      <c r="A37" s="14" t="n">
        <v>33</v>
      </c>
      <c r="B37" s="14" t="s">
        <v>293</v>
      </c>
      <c r="C37" s="14" t="s">
        <v>113</v>
      </c>
      <c r="D37" s="14" t="s">
        <v>114</v>
      </c>
      <c r="E37" s="14" t="s">
        <v>90</v>
      </c>
      <c r="F37" s="14" t="s">
        <v>99</v>
      </c>
      <c r="G37" s="29" t="s">
        <v>53</v>
      </c>
      <c r="H37" s="15" t="n">
        <v>3</v>
      </c>
      <c r="I37" s="15" t="n">
        <v>2</v>
      </c>
      <c r="J37" s="30"/>
      <c r="K37" s="14" t="n">
        <f aca="false">INDEX(Matriz!$C$7:$E$9,H37,I37)</f>
        <v>300</v>
      </c>
      <c r="L37" s="14" t="n">
        <f aca="false">IF(J37="",0,IF(J37&lt;Matriz!$B$14,Matriz!$C$13,IF(J37&lt;Matriz!$B$15,Matriz!$C$14,IF(J37&lt;Matriz!$B$16,Matriz!$C$15,Matriz!$C$16))))</f>
        <v>0</v>
      </c>
      <c r="M37" s="14" t="n">
        <f aca="false">IF(ISNUMBER(SEARCH("Seguridad",S37)),Matriz!$C$20,0)</f>
        <v>0</v>
      </c>
      <c r="N37" s="31" t="n">
        <f aca="false">K37+MIN(M37,Matriz!$C$24)</f>
        <v>300</v>
      </c>
      <c r="O37" s="33"/>
      <c r="P37" s="29" t="s">
        <v>294</v>
      </c>
      <c r="Q37" s="29" t="s">
        <v>295</v>
      </c>
      <c r="R37" s="27" t="s">
        <v>118</v>
      </c>
      <c r="S37" s="28" t="s">
        <v>296</v>
      </c>
      <c r="T37" s="1" t="s">
        <v>297</v>
      </c>
      <c r="U37" s="1" t="s">
        <v>121</v>
      </c>
    </row>
    <row r="38" customFormat="false" ht="15" hidden="false" customHeight="true" outlineLevel="0" collapsed="false">
      <c r="A38" s="14" t="n">
        <v>34</v>
      </c>
      <c r="B38" s="14" t="s">
        <v>221</v>
      </c>
      <c r="C38" s="14" t="s">
        <v>113</v>
      </c>
      <c r="D38" s="14" t="s">
        <v>139</v>
      </c>
      <c r="E38" s="14" t="s">
        <v>90</v>
      </c>
      <c r="F38" s="14" t="s">
        <v>140</v>
      </c>
      <c r="G38" s="29" t="s">
        <v>115</v>
      </c>
      <c r="H38" s="15" t="n">
        <v>2</v>
      </c>
      <c r="I38" s="15" t="n">
        <v>3</v>
      </c>
      <c r="J38" s="30"/>
      <c r="K38" s="14" t="n">
        <f aca="false">INDEX(Matriz!$C$7:$E$9,H38,I38)</f>
        <v>300</v>
      </c>
      <c r="L38" s="14" t="n">
        <f aca="false">IF(J38="",0,IF(J38&lt;Matriz!$B$14,Matriz!$C$13,IF(J38&lt;Matriz!$B$15,Matriz!$C$14,IF(J38&lt;Matriz!$B$16,Matriz!$C$15,Matriz!$C$16))))</f>
        <v>0</v>
      </c>
      <c r="M38" s="14" t="n">
        <f aca="false">IF(ISNUMBER(SEARCH("Seguridad",S38)),Matriz!$C$20,0)</f>
        <v>0</v>
      </c>
      <c r="N38" s="31" t="n">
        <f aca="false">K38+MIN(M38,Matriz!$C$24)</f>
        <v>300</v>
      </c>
      <c r="O38" s="33"/>
      <c r="P38" s="29" t="s">
        <v>298</v>
      </c>
      <c r="Q38" s="29" t="s">
        <v>299</v>
      </c>
      <c r="R38" s="27" t="s">
        <v>143</v>
      </c>
      <c r="S38" s="28" t="s">
        <v>144</v>
      </c>
      <c r="T38" s="1" t="s">
        <v>300</v>
      </c>
      <c r="U38" s="1" t="s">
        <v>146</v>
      </c>
    </row>
    <row r="39" customFormat="false" ht="15" hidden="false" customHeight="true" outlineLevel="0" collapsed="false">
      <c r="A39" s="14" t="n">
        <v>35</v>
      </c>
      <c r="B39" s="14" t="s">
        <v>112</v>
      </c>
      <c r="C39" s="14" t="s">
        <v>113</v>
      </c>
      <c r="D39" s="14" t="s">
        <v>301</v>
      </c>
      <c r="E39" s="14" t="s">
        <v>51</v>
      </c>
      <c r="F39" s="14" t="s">
        <v>74</v>
      </c>
      <c r="G39" s="29" t="s">
        <v>115</v>
      </c>
      <c r="H39" s="15" t="n">
        <v>2</v>
      </c>
      <c r="I39" s="15" t="n">
        <v>1</v>
      </c>
      <c r="J39" s="30"/>
      <c r="K39" s="14" t="n">
        <f aca="false">INDEX(Matriz!$C$7:$E$9,H39,I39)</f>
        <v>100</v>
      </c>
      <c r="L39" s="14" t="n">
        <f aca="false">IF(J39="",0,IF(J39&lt;Matriz!$B$14,Matriz!$C$13,IF(J39&lt;Matriz!$B$15,Matriz!$C$14,IF(J39&lt;Matriz!$B$16,Matriz!$C$15,Matriz!$C$16))))</f>
        <v>0</v>
      </c>
      <c r="M39" s="14" t="n">
        <f aca="false">IF(ISNUMBER(SEARCH("Seguridad",S39)),Matriz!$C$20,0)</f>
        <v>0</v>
      </c>
      <c r="N39" s="31" t="n">
        <f aca="false">K39+MIN(M39,Matriz!$C$24)</f>
        <v>100</v>
      </c>
      <c r="O39" s="33"/>
      <c r="P39" s="29" t="s">
        <v>302</v>
      </c>
      <c r="Q39" s="29" t="s">
        <v>303</v>
      </c>
      <c r="R39" s="27" t="s">
        <v>304</v>
      </c>
      <c r="S39" s="28" t="s">
        <v>187</v>
      </c>
      <c r="T39" s="1" t="s">
        <v>305</v>
      </c>
      <c r="U39" s="1" t="s">
        <v>306</v>
      </c>
    </row>
    <row r="40" customFormat="false" ht="15" hidden="false" customHeight="true" outlineLevel="0" collapsed="false">
      <c r="A40" s="14" t="n">
        <v>36</v>
      </c>
      <c r="B40" s="14" t="s">
        <v>307</v>
      </c>
      <c r="C40" s="14" t="s">
        <v>113</v>
      </c>
      <c r="D40" s="14" t="s">
        <v>131</v>
      </c>
      <c r="E40" s="14" t="s">
        <v>90</v>
      </c>
      <c r="F40" s="14" t="s">
        <v>132</v>
      </c>
      <c r="G40" s="29" t="s">
        <v>115</v>
      </c>
      <c r="H40" s="15" t="n">
        <v>2</v>
      </c>
      <c r="I40" s="15" t="n">
        <v>2</v>
      </c>
      <c r="J40" s="30"/>
      <c r="K40" s="14" t="n">
        <f aca="false">INDEX(Matriz!$C$7:$E$9,H40,I40)</f>
        <v>200</v>
      </c>
      <c r="L40" s="14" t="n">
        <f aca="false">IF(J40="",0,IF(J40&lt;Matriz!$B$14,Matriz!$C$13,IF(J40&lt;Matriz!$B$15,Matriz!$C$14,IF(J40&lt;Matriz!$B$16,Matriz!$C$15,Matriz!$C$16))))</f>
        <v>0</v>
      </c>
      <c r="M40" s="14" t="n">
        <f aca="false">IF(ISNUMBER(SEARCH("Seguridad",S40)),Matriz!$C$20,0)</f>
        <v>0</v>
      </c>
      <c r="N40" s="31" t="n">
        <f aca="false">K40+MIN(M40,Matriz!$C$24)</f>
        <v>200</v>
      </c>
      <c r="O40" s="33"/>
      <c r="P40" s="29" t="s">
        <v>133</v>
      </c>
      <c r="Q40" s="29" t="s">
        <v>308</v>
      </c>
      <c r="R40" s="27" t="s">
        <v>135</v>
      </c>
      <c r="S40" s="28" t="s">
        <v>119</v>
      </c>
      <c r="T40" s="1" t="s">
        <v>309</v>
      </c>
      <c r="U40" s="1" t="s">
        <v>138</v>
      </c>
    </row>
    <row r="41" customFormat="false" ht="15" hidden="false" customHeight="true" outlineLevel="0" collapsed="false">
      <c r="A41" s="14" t="n">
        <v>37</v>
      </c>
      <c r="B41" s="14" t="s">
        <v>310</v>
      </c>
      <c r="C41" s="14" t="s">
        <v>113</v>
      </c>
      <c r="D41" s="14" t="s">
        <v>311</v>
      </c>
      <c r="E41" s="14" t="s">
        <v>163</v>
      </c>
      <c r="F41" s="14" t="s">
        <v>132</v>
      </c>
      <c r="G41" s="29" t="s">
        <v>115</v>
      </c>
      <c r="H41" s="15" t="n">
        <v>2</v>
      </c>
      <c r="I41" s="15" t="n">
        <v>1</v>
      </c>
      <c r="J41" s="30"/>
      <c r="K41" s="14" t="n">
        <f aca="false">INDEX(Matriz!$C$7:$E$9,H41,I41)</f>
        <v>100</v>
      </c>
      <c r="L41" s="14" t="n">
        <f aca="false">IF(J41="",0,IF(J41&lt;Matriz!$B$14,Matriz!$C$13,IF(J41&lt;Matriz!$B$15,Matriz!$C$14,IF(J41&lt;Matriz!$B$16,Matriz!$C$15,Matriz!$C$16))))</f>
        <v>0</v>
      </c>
      <c r="M41" s="14" t="n">
        <f aca="false">IF(ISNUMBER(SEARCH("Seguridad",S41)),Matriz!$C$20,0)</f>
        <v>0</v>
      </c>
      <c r="N41" s="31" t="n">
        <f aca="false">K41+MIN(M41,Matriz!$C$24)</f>
        <v>100</v>
      </c>
      <c r="O41" s="33"/>
      <c r="P41" s="29" t="s">
        <v>312</v>
      </c>
      <c r="Q41" s="29" t="s">
        <v>313</v>
      </c>
      <c r="R41" s="27" t="s">
        <v>314</v>
      </c>
      <c r="S41" s="28" t="s">
        <v>187</v>
      </c>
      <c r="T41" s="1" t="s">
        <v>315</v>
      </c>
      <c r="U41" s="1" t="s">
        <v>316</v>
      </c>
    </row>
    <row r="42" customFormat="false" ht="15" hidden="false" customHeight="true" outlineLevel="0" collapsed="false">
      <c r="A42" s="14" t="n">
        <v>38</v>
      </c>
      <c r="B42" s="14" t="s">
        <v>307</v>
      </c>
      <c r="C42" s="14" t="s">
        <v>113</v>
      </c>
      <c r="D42" s="14" t="s">
        <v>317</v>
      </c>
      <c r="E42" s="14" t="s">
        <v>163</v>
      </c>
      <c r="F42" s="14" t="s">
        <v>99</v>
      </c>
      <c r="G42" s="29" t="s">
        <v>115</v>
      </c>
      <c r="H42" s="15" t="n">
        <v>2</v>
      </c>
      <c r="I42" s="15" t="n">
        <v>2</v>
      </c>
      <c r="J42" s="30"/>
      <c r="K42" s="14" t="n">
        <f aca="false">INDEX(Matriz!$C$7:$E$9,H42,I42)</f>
        <v>200</v>
      </c>
      <c r="L42" s="14" t="n">
        <f aca="false">IF(J42="",0,IF(J42&lt;Matriz!$B$14,Matriz!$C$13,IF(J42&lt;Matriz!$B$15,Matriz!$C$14,IF(J42&lt;Matriz!$B$16,Matriz!$C$15,Matriz!$C$16))))</f>
        <v>0</v>
      </c>
      <c r="M42" s="14" t="n">
        <f aca="false">IF(ISNUMBER(SEARCH("Seguridad",S42)),Matriz!$C$20,0)</f>
        <v>0</v>
      </c>
      <c r="N42" s="31" t="n">
        <f aca="false">K42+MIN(M42,Matriz!$C$24)</f>
        <v>200</v>
      </c>
      <c r="O42" s="33"/>
      <c r="P42" s="29" t="s">
        <v>318</v>
      </c>
      <c r="Q42" s="29" t="s">
        <v>319</v>
      </c>
      <c r="R42" s="27" t="s">
        <v>320</v>
      </c>
      <c r="S42" s="28" t="s">
        <v>187</v>
      </c>
      <c r="T42" s="1" t="s">
        <v>321</v>
      </c>
      <c r="U42" s="1" t="s">
        <v>322</v>
      </c>
    </row>
    <row r="43" customFormat="false" ht="15" hidden="false" customHeight="true" outlineLevel="0" collapsed="false">
      <c r="A43" s="14" t="n">
        <v>39</v>
      </c>
      <c r="B43" s="14" t="s">
        <v>310</v>
      </c>
      <c r="C43" s="14" t="s">
        <v>113</v>
      </c>
      <c r="D43" s="14" t="s">
        <v>323</v>
      </c>
      <c r="E43" s="14" t="s">
        <v>73</v>
      </c>
      <c r="F43" s="14" t="s">
        <v>140</v>
      </c>
      <c r="G43" s="29" t="s">
        <v>115</v>
      </c>
      <c r="H43" s="15" t="n">
        <v>3</v>
      </c>
      <c r="I43" s="15" t="n">
        <v>3</v>
      </c>
      <c r="J43" s="30"/>
      <c r="K43" s="14" t="n">
        <f aca="false">INDEX(Matriz!$C$7:$E$9,H43,I43)</f>
        <v>450</v>
      </c>
      <c r="L43" s="14" t="n">
        <f aca="false">IF(J43="",0,IF(J43&lt;Matriz!$B$14,Matriz!$C$13,IF(J43&lt;Matriz!$B$15,Matriz!$C$14,IF(J43&lt;Matriz!$B$16,Matriz!$C$15,Matriz!$C$16))))</f>
        <v>0</v>
      </c>
      <c r="M43" s="14" t="n">
        <f aca="false">IF(ISNUMBER(SEARCH("Seguridad",S43)),Matriz!$C$20,0)</f>
        <v>0</v>
      </c>
      <c r="N43" s="31" t="n">
        <f aca="false">K43+MIN(M43,Matriz!$C$24)</f>
        <v>450</v>
      </c>
      <c r="O43" s="32" t="s">
        <v>324</v>
      </c>
      <c r="P43" s="29" t="s">
        <v>325</v>
      </c>
      <c r="Q43" s="29" t="s">
        <v>326</v>
      </c>
      <c r="R43" s="27" t="s">
        <v>323</v>
      </c>
      <c r="S43" s="28" t="s">
        <v>327</v>
      </c>
      <c r="T43" s="1" t="s">
        <v>328</v>
      </c>
      <c r="U43" s="1" t="s">
        <v>329</v>
      </c>
    </row>
    <row r="44" customFormat="false" ht="15" hidden="false" customHeight="true" outlineLevel="0" collapsed="false">
      <c r="A44" s="14" t="n">
        <v>40</v>
      </c>
      <c r="B44" s="14" t="s">
        <v>293</v>
      </c>
      <c r="C44" s="14" t="s">
        <v>113</v>
      </c>
      <c r="D44" s="14" t="s">
        <v>82</v>
      </c>
      <c r="E44" s="14" t="s">
        <v>163</v>
      </c>
      <c r="F44" s="14" t="s">
        <v>83</v>
      </c>
      <c r="G44" s="29" t="s">
        <v>63</v>
      </c>
      <c r="H44" s="15" t="n">
        <v>3</v>
      </c>
      <c r="I44" s="15" t="n">
        <v>3</v>
      </c>
      <c r="J44" s="30" t="n">
        <v>438000</v>
      </c>
      <c r="K44" s="14" t="n">
        <f aca="false">INDEX(Matriz!$C$7:$E$9,H44,I44)</f>
        <v>450</v>
      </c>
      <c r="L44" s="14" t="n">
        <f aca="false">IF(J44="",0,IF(J44&lt;Matriz!$B$14,Matriz!$C$13,IF(J44&lt;Matriz!$B$15,Matriz!$C$14,IF(J44&lt;Matriz!$B$16,Matriz!$C$15,Matriz!$C$16))))</f>
        <v>1000</v>
      </c>
      <c r="M44" s="14" t="n">
        <f aca="false">IF(ISNUMBER(SEARCH("Seguridad",S44)),Matriz!$C$20,0)</f>
        <v>0</v>
      </c>
      <c r="N44" s="31" t="n">
        <f aca="false">K44+MIN(M44,Matriz!$C$24)</f>
        <v>450</v>
      </c>
      <c r="O44" s="33"/>
      <c r="P44" s="29" t="s">
        <v>330</v>
      </c>
      <c r="Q44" s="29" t="s">
        <v>331</v>
      </c>
      <c r="R44" s="27" t="s">
        <v>82</v>
      </c>
      <c r="S44" s="28" t="s">
        <v>68</v>
      </c>
      <c r="T44" s="1" t="s">
        <v>332</v>
      </c>
      <c r="U44" s="1" t="s">
        <v>87</v>
      </c>
    </row>
    <row r="45" customFormat="false" ht="15" hidden="false" customHeight="true" outlineLevel="0" collapsed="false">
      <c r="A45" s="14" t="n">
        <v>41</v>
      </c>
      <c r="B45" s="14" t="s">
        <v>333</v>
      </c>
      <c r="C45" s="14" t="s">
        <v>113</v>
      </c>
      <c r="D45" s="14" t="s">
        <v>334</v>
      </c>
      <c r="E45" s="14" t="s">
        <v>61</v>
      </c>
      <c r="F45" s="14" t="s">
        <v>257</v>
      </c>
      <c r="G45" s="29" t="s">
        <v>53</v>
      </c>
      <c r="H45" s="15" t="n">
        <v>3</v>
      </c>
      <c r="I45" s="15" t="n">
        <v>2</v>
      </c>
      <c r="J45" s="30" t="n">
        <v>438000</v>
      </c>
      <c r="K45" s="14" t="n">
        <f aca="false">INDEX(Matriz!$C$7:$E$9,H45,I45)</f>
        <v>300</v>
      </c>
      <c r="L45" s="14" t="n">
        <f aca="false">IF(J45="",0,IF(J45&lt;Matriz!$B$14,Matriz!$C$13,IF(J45&lt;Matriz!$B$15,Matriz!$C$14,IF(J45&lt;Matriz!$B$16,Matriz!$C$15,Matriz!$C$16))))</f>
        <v>1000</v>
      </c>
      <c r="M45" s="14" t="n">
        <f aca="false">IF(ISNUMBER(SEARCH("Seguridad",S45)),Matriz!$C$20,0)</f>
        <v>100</v>
      </c>
      <c r="N45" s="31" t="n">
        <f aca="false">K45+MIN(M45,Matriz!$C$24)</f>
        <v>400</v>
      </c>
      <c r="O45" s="33"/>
      <c r="P45" s="29" t="s">
        <v>335</v>
      </c>
      <c r="Q45" s="29" t="s">
        <v>336</v>
      </c>
      <c r="R45" s="27" t="s">
        <v>334</v>
      </c>
      <c r="S45" s="28" t="s">
        <v>337</v>
      </c>
      <c r="T45" s="1" t="s">
        <v>338</v>
      </c>
      <c r="U45" s="1" t="s">
        <v>339</v>
      </c>
    </row>
    <row r="46" customFormat="false" ht="15" hidden="false" customHeight="true" outlineLevel="0" collapsed="false">
      <c r="A46" s="14" t="n">
        <v>42</v>
      </c>
      <c r="B46" s="14" t="s">
        <v>340</v>
      </c>
      <c r="C46" s="14" t="s">
        <v>113</v>
      </c>
      <c r="D46" s="14" t="s">
        <v>341</v>
      </c>
      <c r="E46" s="14" t="s">
        <v>73</v>
      </c>
      <c r="F46" s="14" t="s">
        <v>257</v>
      </c>
      <c r="G46" s="29" t="s">
        <v>53</v>
      </c>
      <c r="H46" s="15" t="n">
        <v>3</v>
      </c>
      <c r="I46" s="15" t="n">
        <v>2</v>
      </c>
      <c r="J46" s="30"/>
      <c r="K46" s="14" t="n">
        <f aca="false">INDEX(Matriz!$C$7:$E$9,H46,I46)</f>
        <v>300</v>
      </c>
      <c r="L46" s="14" t="n">
        <f aca="false">IF(J46="",0,IF(J46&lt;Matriz!$B$14,Matriz!$C$13,IF(J46&lt;Matriz!$B$15,Matriz!$C$14,IF(J46&lt;Matriz!$B$16,Matriz!$C$15,Matriz!$C$16))))</f>
        <v>0</v>
      </c>
      <c r="M46" s="14" t="n">
        <f aca="false">IF(ISNUMBER(SEARCH("Seguridad",S46)),Matriz!$C$20,0)</f>
        <v>100</v>
      </c>
      <c r="N46" s="31" t="n">
        <f aca="false">K46+MIN(M46,Matriz!$C$24)</f>
        <v>400</v>
      </c>
      <c r="O46" s="33"/>
      <c r="P46" s="29" t="s">
        <v>342</v>
      </c>
      <c r="Q46" s="29" t="s">
        <v>343</v>
      </c>
      <c r="R46" s="27" t="s">
        <v>344</v>
      </c>
      <c r="S46" s="28" t="s">
        <v>53</v>
      </c>
      <c r="T46" s="1" t="s">
        <v>345</v>
      </c>
      <c r="U46" s="1" t="s">
        <v>346</v>
      </c>
    </row>
    <row r="47" customFormat="false" ht="15" hidden="false" customHeight="true" outlineLevel="0" collapsed="false">
      <c r="A47" s="14" t="n">
        <v>43</v>
      </c>
      <c r="B47" s="14" t="s">
        <v>347</v>
      </c>
      <c r="C47" s="14" t="s">
        <v>113</v>
      </c>
      <c r="D47" s="14" t="s">
        <v>172</v>
      </c>
      <c r="E47" s="14" t="s">
        <v>90</v>
      </c>
      <c r="F47" s="14" t="s">
        <v>173</v>
      </c>
      <c r="G47" s="29" t="s">
        <v>53</v>
      </c>
      <c r="H47" s="15" t="n">
        <v>3</v>
      </c>
      <c r="I47" s="15" t="n">
        <v>1</v>
      </c>
      <c r="J47" s="30"/>
      <c r="K47" s="14" t="n">
        <f aca="false">INDEX(Matriz!$C$7:$E$9,H47,I47)</f>
        <v>150</v>
      </c>
      <c r="L47" s="14" t="n">
        <f aca="false">IF(J47="",0,IF(J47&lt;Matriz!$B$14,Matriz!$C$13,IF(J47&lt;Matriz!$B$15,Matriz!$C$14,IF(J47&lt;Matriz!$B$16,Matriz!$C$15,Matriz!$C$16))))</f>
        <v>0</v>
      </c>
      <c r="M47" s="14" t="n">
        <f aca="false">IF(ISNUMBER(SEARCH("Seguridad",S47)),Matriz!$C$20,0)</f>
        <v>100</v>
      </c>
      <c r="N47" s="31" t="n">
        <f aca="false">K47+MIN(M47,Matriz!$C$24)</f>
        <v>250</v>
      </c>
      <c r="O47" s="33"/>
      <c r="P47" s="29" t="s">
        <v>348</v>
      </c>
      <c r="Q47" s="29" t="s">
        <v>349</v>
      </c>
      <c r="R47" s="27" t="s">
        <v>172</v>
      </c>
      <c r="S47" s="28" t="s">
        <v>350</v>
      </c>
      <c r="T47" s="1" t="s">
        <v>351</v>
      </c>
      <c r="U47" s="1" t="s">
        <v>177</v>
      </c>
    </row>
    <row r="48" customFormat="false" ht="15" hidden="false" customHeight="true" outlineLevel="0" collapsed="false">
      <c r="A48" s="14" t="n">
        <v>44</v>
      </c>
      <c r="B48" s="14" t="s">
        <v>352</v>
      </c>
      <c r="C48" s="14" t="s">
        <v>113</v>
      </c>
      <c r="D48" s="14" t="s">
        <v>172</v>
      </c>
      <c r="E48" s="14" t="s">
        <v>90</v>
      </c>
      <c r="F48" s="14" t="s">
        <v>173</v>
      </c>
      <c r="G48" s="29" t="s">
        <v>53</v>
      </c>
      <c r="H48" s="15" t="n">
        <v>3</v>
      </c>
      <c r="I48" s="15" t="n">
        <v>3</v>
      </c>
      <c r="J48" s="30"/>
      <c r="K48" s="14" t="n">
        <f aca="false">INDEX(Matriz!$C$7:$E$9,H48,I48)</f>
        <v>450</v>
      </c>
      <c r="L48" s="14" t="n">
        <f aca="false">IF(J48="",0,IF(J48&lt;Matriz!$B$14,Matriz!$C$13,IF(J48&lt;Matriz!$B$15,Matriz!$C$14,IF(J48&lt;Matriz!$B$16,Matriz!$C$15,Matriz!$C$16))))</f>
        <v>0</v>
      </c>
      <c r="M48" s="14" t="n">
        <f aca="false">IF(ISNUMBER(SEARCH("Seguridad",S48)),Matriz!$C$20,0)</f>
        <v>100</v>
      </c>
      <c r="N48" s="31" t="n">
        <f aca="false">K48+MIN(M48,Matriz!$C$24)</f>
        <v>550</v>
      </c>
      <c r="O48" s="33"/>
      <c r="P48" s="29" t="s">
        <v>353</v>
      </c>
      <c r="Q48" s="29" t="s">
        <v>354</v>
      </c>
      <c r="R48" s="27" t="s">
        <v>172</v>
      </c>
      <c r="S48" s="28" t="s">
        <v>355</v>
      </c>
      <c r="T48" s="1" t="s">
        <v>356</v>
      </c>
      <c r="U48" s="1" t="s">
        <v>177</v>
      </c>
    </row>
    <row r="49" customFormat="false" ht="15" hidden="false" customHeight="true" outlineLevel="0" collapsed="false">
      <c r="A49" s="14" t="n">
        <v>45</v>
      </c>
      <c r="B49" s="14" t="s">
        <v>357</v>
      </c>
      <c r="C49" s="14" t="s">
        <v>358</v>
      </c>
      <c r="D49" s="14" t="s">
        <v>359</v>
      </c>
      <c r="E49" s="14" t="s">
        <v>163</v>
      </c>
      <c r="F49" s="14" t="s">
        <v>257</v>
      </c>
      <c r="G49" s="29" t="s">
        <v>53</v>
      </c>
      <c r="H49" s="15" t="n">
        <v>3</v>
      </c>
      <c r="I49" s="15" t="n">
        <v>2</v>
      </c>
      <c r="J49" s="30"/>
      <c r="K49" s="14" t="n">
        <f aca="false">INDEX(Matriz!$C$7:$E$9,H49,I49)</f>
        <v>300</v>
      </c>
      <c r="L49" s="14" t="n">
        <f aca="false">IF(J49="",0,IF(J49&lt;Matriz!$B$14,Matriz!$C$13,IF(J49&lt;Matriz!$B$15,Matriz!$C$14,IF(J49&lt;Matriz!$B$16,Matriz!$C$15,Matriz!$C$16))))</f>
        <v>0</v>
      </c>
      <c r="M49" s="14" t="n">
        <f aca="false">IF(ISNUMBER(SEARCH("Seguridad",S49)),Matriz!$C$20,0)</f>
        <v>100</v>
      </c>
      <c r="N49" s="31" t="n">
        <f aca="false">K49+MIN(M49,Matriz!$C$24)</f>
        <v>400</v>
      </c>
      <c r="O49" s="33"/>
      <c r="P49" s="29" t="s">
        <v>360</v>
      </c>
      <c r="Q49" s="29" t="s">
        <v>361</v>
      </c>
      <c r="R49" s="27" t="s">
        <v>362</v>
      </c>
      <c r="S49" s="28" t="s">
        <v>291</v>
      </c>
      <c r="T49" s="1" t="s">
        <v>363</v>
      </c>
      <c r="U49" s="1" t="s">
        <v>364</v>
      </c>
    </row>
    <row r="50" customFormat="false" ht="15" hidden="false" customHeight="true" outlineLevel="0" collapsed="false">
      <c r="A50" s="14" t="n">
        <v>46</v>
      </c>
      <c r="B50" s="14" t="s">
        <v>365</v>
      </c>
      <c r="C50" s="14" t="s">
        <v>113</v>
      </c>
      <c r="D50" s="14" t="s">
        <v>366</v>
      </c>
      <c r="E50" s="14" t="s">
        <v>163</v>
      </c>
      <c r="F50" s="14" t="s">
        <v>248</v>
      </c>
      <c r="G50" s="29" t="s">
        <v>74</v>
      </c>
      <c r="H50" s="15" t="n">
        <v>3</v>
      </c>
      <c r="I50" s="15" t="n">
        <v>2</v>
      </c>
      <c r="J50" s="30"/>
      <c r="K50" s="14" t="n">
        <f aca="false">INDEX(Matriz!$C$7:$E$9,H50,I50)</f>
        <v>300</v>
      </c>
      <c r="L50" s="14" t="n">
        <f aca="false">IF(J50="",0,IF(J50&lt;Matriz!$B$14,Matriz!$C$13,IF(J50&lt;Matriz!$B$15,Matriz!$C$14,IF(J50&lt;Matriz!$B$16,Matriz!$C$15,Matriz!$C$16))))</f>
        <v>0</v>
      </c>
      <c r="M50" s="14" t="n">
        <f aca="false">IF(ISNUMBER(SEARCH("Seguridad",S50)),Matriz!$C$20,0)</f>
        <v>0</v>
      </c>
      <c r="N50" s="31" t="n">
        <f aca="false">K50+MIN(M50,Matriz!$C$24)</f>
        <v>300</v>
      </c>
      <c r="O50" s="32" t="s">
        <v>367</v>
      </c>
      <c r="P50" s="29" t="s">
        <v>368</v>
      </c>
      <c r="Q50" s="29" t="s">
        <v>369</v>
      </c>
      <c r="R50" s="27" t="s">
        <v>370</v>
      </c>
      <c r="S50" s="28" t="s">
        <v>371</v>
      </c>
      <c r="T50" s="1" t="s">
        <v>372</v>
      </c>
      <c r="U50" s="1" t="s">
        <v>373</v>
      </c>
    </row>
    <row r="51" customFormat="false" ht="15" hidden="false" customHeight="true" outlineLevel="0" collapsed="false">
      <c r="A51" s="14" t="n">
        <v>47</v>
      </c>
      <c r="B51" s="14" t="s">
        <v>307</v>
      </c>
      <c r="C51" s="14" t="s">
        <v>113</v>
      </c>
      <c r="D51" s="14" t="s">
        <v>155</v>
      </c>
      <c r="E51" s="14" t="s">
        <v>90</v>
      </c>
      <c r="F51" s="14" t="s">
        <v>106</v>
      </c>
      <c r="G51" s="29" t="s">
        <v>63</v>
      </c>
      <c r="H51" s="15" t="n">
        <v>3</v>
      </c>
      <c r="I51" s="15" t="n">
        <v>3</v>
      </c>
      <c r="J51" s="30" t="n">
        <v>18173</v>
      </c>
      <c r="K51" s="14" t="n">
        <f aca="false">INDEX(Matriz!$C$7:$E$9,H51,I51)</f>
        <v>450</v>
      </c>
      <c r="L51" s="14" t="n">
        <f aca="false">IF(J51="",0,IF(J51&lt;Matriz!$B$14,Matriz!$C$13,IF(J51&lt;Matriz!$B$15,Matriz!$C$14,IF(J51&lt;Matriz!$B$16,Matriz!$C$15,Matriz!$C$16))))</f>
        <v>500</v>
      </c>
      <c r="M51" s="14" t="n">
        <f aca="false">IF(ISNUMBER(SEARCH("Seguridad",S51)),Matriz!$C$20,0)</f>
        <v>0</v>
      </c>
      <c r="N51" s="31" t="n">
        <f aca="false">K51+MIN(M51,Matriz!$C$24)</f>
        <v>450</v>
      </c>
      <c r="O51" s="33" t="s">
        <v>374</v>
      </c>
      <c r="P51" s="29" t="s">
        <v>375</v>
      </c>
      <c r="Q51" s="29" t="s">
        <v>376</v>
      </c>
      <c r="R51" s="27" t="s">
        <v>155</v>
      </c>
      <c r="S51" s="28" t="s">
        <v>68</v>
      </c>
      <c r="T51" s="1" t="s">
        <v>377</v>
      </c>
      <c r="U51" s="1" t="s">
        <v>160</v>
      </c>
    </row>
    <row r="52" customFormat="false" ht="15" hidden="false" customHeight="true" outlineLevel="0" collapsed="false">
      <c r="A52" s="14" t="n">
        <v>48</v>
      </c>
      <c r="B52" s="14" t="s">
        <v>365</v>
      </c>
      <c r="C52" s="14" t="s">
        <v>113</v>
      </c>
      <c r="D52" s="14" t="s">
        <v>378</v>
      </c>
      <c r="E52" s="14" t="s">
        <v>73</v>
      </c>
      <c r="F52" s="14" t="s">
        <v>74</v>
      </c>
      <c r="G52" s="29" t="s">
        <v>74</v>
      </c>
      <c r="H52" s="15" t="n">
        <v>3</v>
      </c>
      <c r="I52" s="15" t="n">
        <v>1</v>
      </c>
      <c r="J52" s="30"/>
      <c r="K52" s="14" t="n">
        <f aca="false">INDEX(Matriz!$C$7:$E$9,H52,I52)</f>
        <v>150</v>
      </c>
      <c r="L52" s="14" t="n">
        <f aca="false">IF(J52="",0,IF(J52&lt;Matriz!$B$14,Matriz!$C$13,IF(J52&lt;Matriz!$B$15,Matriz!$C$14,IF(J52&lt;Matriz!$B$16,Matriz!$C$15,Matriz!$C$16))))</f>
        <v>0</v>
      </c>
      <c r="M52" s="14" t="n">
        <f aca="false">IF(ISNUMBER(SEARCH("Seguridad",S52)),Matriz!$C$20,0)</f>
        <v>0</v>
      </c>
      <c r="N52" s="31" t="n">
        <f aca="false">K52+MIN(M52,Matriz!$C$24)</f>
        <v>150</v>
      </c>
      <c r="O52" s="33"/>
      <c r="P52" s="29" t="s">
        <v>379</v>
      </c>
      <c r="Q52" s="29" t="s">
        <v>380</v>
      </c>
      <c r="R52" s="27" t="s">
        <v>381</v>
      </c>
      <c r="S52" s="28" t="s">
        <v>151</v>
      </c>
      <c r="T52" s="1"/>
      <c r="U52" s="1" t="s">
        <v>382</v>
      </c>
    </row>
    <row r="53" customFormat="false" ht="15" hidden="false" customHeight="true" outlineLevel="0" collapsed="false">
      <c r="A53" s="14" t="n">
        <v>49</v>
      </c>
      <c r="B53" s="14" t="s">
        <v>310</v>
      </c>
      <c r="C53" s="14" t="s">
        <v>113</v>
      </c>
      <c r="D53" s="14" t="s">
        <v>383</v>
      </c>
      <c r="E53" s="14" t="s">
        <v>73</v>
      </c>
      <c r="F53" s="14" t="s">
        <v>132</v>
      </c>
      <c r="G53" s="29" t="s">
        <v>53</v>
      </c>
      <c r="H53" s="15" t="n">
        <v>2</v>
      </c>
      <c r="I53" s="15" t="n">
        <v>1</v>
      </c>
      <c r="J53" s="30"/>
      <c r="K53" s="14" t="n">
        <f aca="false">INDEX(Matriz!$C$7:$E$9,H53,I53)</f>
        <v>100</v>
      </c>
      <c r="L53" s="14" t="n">
        <f aca="false">IF(J53="",0,IF(J53&lt;Matriz!$B$14,Matriz!$C$13,IF(J53&lt;Matriz!$B$15,Matriz!$C$14,IF(J53&lt;Matriz!$B$16,Matriz!$C$15,Matriz!$C$16))))</f>
        <v>0</v>
      </c>
      <c r="M53" s="14" t="n">
        <f aca="false">IF(ISNUMBER(SEARCH("Seguridad",S53)),Matriz!$C$20,0)</f>
        <v>0</v>
      </c>
      <c r="N53" s="31" t="n">
        <f aca="false">K53+MIN(M53,Matriz!$C$24)</f>
        <v>100</v>
      </c>
      <c r="O53" s="33"/>
      <c r="P53" s="29" t="s">
        <v>384</v>
      </c>
      <c r="Q53" s="29" t="s">
        <v>385</v>
      </c>
      <c r="R53" s="27" t="s">
        <v>386</v>
      </c>
      <c r="S53" s="28" t="s">
        <v>387</v>
      </c>
      <c r="T53" s="1" t="s">
        <v>388</v>
      </c>
      <c r="U53" s="1" t="s">
        <v>389</v>
      </c>
    </row>
    <row r="54" customFormat="false" ht="15" hidden="false" customHeight="true" outlineLevel="0" collapsed="false">
      <c r="A54" s="14" t="n">
        <v>50</v>
      </c>
      <c r="B54" s="14" t="s">
        <v>390</v>
      </c>
      <c r="C54" s="14" t="s">
        <v>113</v>
      </c>
      <c r="D54" s="14" t="s">
        <v>98</v>
      </c>
      <c r="E54" s="14" t="s">
        <v>73</v>
      </c>
      <c r="F54" s="14" t="s">
        <v>99</v>
      </c>
      <c r="G54" s="29" t="s">
        <v>115</v>
      </c>
      <c r="H54" s="15" t="n">
        <v>2</v>
      </c>
      <c r="I54" s="15" t="n">
        <v>1</v>
      </c>
      <c r="J54" s="30"/>
      <c r="K54" s="14" t="n">
        <f aca="false">INDEX(Matriz!$C$7:$E$9,H54,I54)</f>
        <v>100</v>
      </c>
      <c r="L54" s="14" t="n">
        <f aca="false">IF(J54="",0,IF(J54&lt;Matriz!$B$14,Matriz!$C$13,IF(J54&lt;Matriz!$B$15,Matriz!$C$14,IF(J54&lt;Matriz!$B$16,Matriz!$C$15,Matriz!$C$16))))</f>
        <v>0</v>
      </c>
      <c r="M54" s="14" t="n">
        <f aca="false">IF(ISNUMBER(SEARCH("Seguridad",S54)),Matriz!$C$20,0)</f>
        <v>0</v>
      </c>
      <c r="N54" s="31" t="n">
        <f aca="false">K54+MIN(M54,Matriz!$C$24)</f>
        <v>100</v>
      </c>
      <c r="O54" s="33"/>
      <c r="P54" s="29" t="s">
        <v>391</v>
      </c>
      <c r="Q54" s="29" t="s">
        <v>392</v>
      </c>
      <c r="R54" s="27" t="s">
        <v>98</v>
      </c>
      <c r="S54" s="28" t="s">
        <v>187</v>
      </c>
      <c r="T54" s="1"/>
      <c r="U54" s="1" t="s">
        <v>102</v>
      </c>
    </row>
    <row r="55" customFormat="false" ht="15" hidden="false" customHeight="true" outlineLevel="0" collapsed="false">
      <c r="A55" s="14" t="n">
        <v>51</v>
      </c>
      <c r="B55" s="14" t="s">
        <v>221</v>
      </c>
      <c r="C55" s="14" t="s">
        <v>113</v>
      </c>
      <c r="D55" s="14" t="s">
        <v>393</v>
      </c>
      <c r="E55" s="14" t="s">
        <v>61</v>
      </c>
      <c r="F55" s="14" t="s">
        <v>74</v>
      </c>
      <c r="G55" s="29" t="s">
        <v>115</v>
      </c>
      <c r="H55" s="15" t="n">
        <v>3</v>
      </c>
      <c r="I55" s="15" t="n">
        <v>2</v>
      </c>
      <c r="J55" s="30"/>
      <c r="K55" s="14" t="n">
        <f aca="false">INDEX(Matriz!$C$7:$E$9,H55,I55)</f>
        <v>300</v>
      </c>
      <c r="L55" s="14" t="n">
        <f aca="false">IF(J55="",0,IF(J55&lt;Matriz!$B$14,Matriz!$C$13,IF(J55&lt;Matriz!$B$15,Matriz!$C$14,IF(J55&lt;Matriz!$B$16,Matriz!$C$15,Matriz!$C$16))))</f>
        <v>0</v>
      </c>
      <c r="M55" s="14" t="n">
        <f aca="false">IF(ISNUMBER(SEARCH("Seguridad",S55)),Matriz!$C$20,0)</f>
        <v>0</v>
      </c>
      <c r="N55" s="31" t="n">
        <f aca="false">K55+MIN(M55,Matriz!$C$24)</f>
        <v>300</v>
      </c>
      <c r="O55" s="32" t="s">
        <v>394</v>
      </c>
      <c r="P55" s="29" t="s">
        <v>395</v>
      </c>
      <c r="Q55" s="29" t="s">
        <v>396</v>
      </c>
      <c r="R55" s="27" t="s">
        <v>167</v>
      </c>
      <c r="S55" s="28" t="s">
        <v>202</v>
      </c>
      <c r="T55" s="1" t="s">
        <v>397</v>
      </c>
      <c r="U55" s="1" t="s">
        <v>398</v>
      </c>
    </row>
    <row r="56" customFormat="false" ht="15" hidden="false" customHeight="true" outlineLevel="0" collapsed="false">
      <c r="A56" s="14" t="n">
        <v>52</v>
      </c>
      <c r="B56" s="14" t="s">
        <v>221</v>
      </c>
      <c r="C56" s="14" t="s">
        <v>113</v>
      </c>
      <c r="D56" s="14" t="s">
        <v>399</v>
      </c>
      <c r="E56" s="14" t="s">
        <v>73</v>
      </c>
      <c r="F56" s="14" t="s">
        <v>173</v>
      </c>
      <c r="G56" s="29" t="s">
        <v>115</v>
      </c>
      <c r="H56" s="15" t="n">
        <v>2</v>
      </c>
      <c r="I56" s="15" t="n">
        <v>2</v>
      </c>
      <c r="J56" s="30"/>
      <c r="K56" s="14" t="n">
        <f aca="false">INDEX(Matriz!$C$7:$E$9,H56,I56)</f>
        <v>200</v>
      </c>
      <c r="L56" s="14" t="n">
        <f aca="false">IF(J56="",0,IF(J56&lt;Matriz!$B$14,Matriz!$C$13,IF(J56&lt;Matriz!$B$15,Matriz!$C$14,IF(J56&lt;Matriz!$B$16,Matriz!$C$15,Matriz!$C$16))))</f>
        <v>0</v>
      </c>
      <c r="M56" s="14" t="n">
        <f aca="false">IF(ISNUMBER(SEARCH("Seguridad",S56)),Matriz!$C$20,0)</f>
        <v>0</v>
      </c>
      <c r="N56" s="31" t="n">
        <f aca="false">K56+MIN(M56,Matriz!$C$24)</f>
        <v>200</v>
      </c>
      <c r="O56" s="32" t="s">
        <v>400</v>
      </c>
      <c r="P56" s="29" t="s">
        <v>401</v>
      </c>
      <c r="Q56" s="29" t="s">
        <v>402</v>
      </c>
      <c r="R56" s="27" t="s">
        <v>403</v>
      </c>
      <c r="S56" s="28" t="s">
        <v>187</v>
      </c>
      <c r="T56" s="1" t="s">
        <v>404</v>
      </c>
      <c r="U56" s="1" t="s">
        <v>405</v>
      </c>
    </row>
    <row r="57" customFormat="false" ht="15" hidden="false" customHeight="true" outlineLevel="0" collapsed="false">
      <c r="A57" s="14" t="n">
        <v>53</v>
      </c>
      <c r="B57" s="14" t="s">
        <v>293</v>
      </c>
      <c r="C57" s="14" t="s">
        <v>113</v>
      </c>
      <c r="D57" s="14" t="s">
        <v>406</v>
      </c>
      <c r="E57" s="14" t="s">
        <v>73</v>
      </c>
      <c r="F57" s="14" t="s">
        <v>173</v>
      </c>
      <c r="G57" s="29" t="s">
        <v>63</v>
      </c>
      <c r="H57" s="15" t="n">
        <v>3</v>
      </c>
      <c r="I57" s="15" t="n">
        <v>2</v>
      </c>
      <c r="J57" s="30"/>
      <c r="K57" s="14" t="n">
        <f aca="false">INDEX(Matriz!$C$7:$E$9,H57,I57)</f>
        <v>300</v>
      </c>
      <c r="L57" s="14" t="n">
        <f aca="false">IF(J57="",0,IF(J57&lt;Matriz!$B$14,Matriz!$C$13,IF(J57&lt;Matriz!$B$15,Matriz!$C$14,IF(J57&lt;Matriz!$B$16,Matriz!$C$15,Matriz!$C$16))))</f>
        <v>0</v>
      </c>
      <c r="M57" s="14" t="n">
        <f aca="false">IF(ISNUMBER(SEARCH("Seguridad",S57)),Matriz!$C$20,0)</f>
        <v>0</v>
      </c>
      <c r="N57" s="31" t="n">
        <f aca="false">K57+MIN(M57,Matriz!$C$24)</f>
        <v>300</v>
      </c>
      <c r="O57" s="33"/>
      <c r="P57" s="29" t="s">
        <v>407</v>
      </c>
      <c r="Q57" s="29" t="s">
        <v>408</v>
      </c>
      <c r="R57" s="27" t="s">
        <v>409</v>
      </c>
      <c r="S57" s="28" t="s">
        <v>68</v>
      </c>
      <c r="T57" s="1"/>
      <c r="U57" s="1" t="s">
        <v>410</v>
      </c>
    </row>
    <row r="58" customFormat="false" ht="15" hidden="false" customHeight="true" outlineLevel="0" collapsed="false">
      <c r="A58" s="14" t="n">
        <v>54</v>
      </c>
      <c r="B58" s="14" t="s">
        <v>411</v>
      </c>
      <c r="C58" s="14" t="s">
        <v>49</v>
      </c>
      <c r="D58" s="14" t="s">
        <v>412</v>
      </c>
      <c r="E58" s="14" t="s">
        <v>51</v>
      </c>
      <c r="F58" s="14" t="s">
        <v>248</v>
      </c>
      <c r="G58" s="29" t="s">
        <v>115</v>
      </c>
      <c r="H58" s="15" t="n">
        <v>3</v>
      </c>
      <c r="I58" s="15" t="n">
        <v>2</v>
      </c>
      <c r="J58" s="30"/>
      <c r="K58" s="14" t="n">
        <f aca="false">INDEX(Matriz!$C$7:$E$9,H58,I58)</f>
        <v>300</v>
      </c>
      <c r="L58" s="14" t="n">
        <f aca="false">IF(J58="",0,IF(J58&lt;Matriz!$B$14,Matriz!$C$13,IF(J58&lt;Matriz!$B$15,Matriz!$C$14,IF(J58&lt;Matriz!$B$16,Matriz!$C$15,Matriz!$C$16))))</f>
        <v>0</v>
      </c>
      <c r="M58" s="14" t="n">
        <f aca="false">IF(ISNUMBER(SEARCH("Seguridad",S58)),Matriz!$C$20,0)</f>
        <v>0</v>
      </c>
      <c r="N58" s="31" t="n">
        <f aca="false">K58+MIN(M58,Matriz!$C$24)</f>
        <v>300</v>
      </c>
      <c r="O58" s="33"/>
      <c r="P58" s="29" t="s">
        <v>413</v>
      </c>
      <c r="Q58" s="29" t="s">
        <v>414</v>
      </c>
      <c r="R58" s="27" t="s">
        <v>415</v>
      </c>
      <c r="S58" s="28" t="s">
        <v>127</v>
      </c>
      <c r="T58" s="1" t="s">
        <v>416</v>
      </c>
      <c r="U58" s="1" t="s">
        <v>417</v>
      </c>
    </row>
    <row r="59" customFormat="false" ht="15" hidden="false" customHeight="true" outlineLevel="0" collapsed="false">
      <c r="A59" s="14" t="n">
        <v>55</v>
      </c>
      <c r="B59" s="14" t="s">
        <v>418</v>
      </c>
      <c r="C59" s="14" t="s">
        <v>113</v>
      </c>
      <c r="D59" s="14" t="s">
        <v>419</v>
      </c>
      <c r="E59" s="14" t="s">
        <v>73</v>
      </c>
      <c r="F59" s="14" t="s">
        <v>132</v>
      </c>
      <c r="G59" s="29" t="s">
        <v>74</v>
      </c>
      <c r="H59" s="15" t="n">
        <v>3</v>
      </c>
      <c r="I59" s="15" t="n">
        <v>1</v>
      </c>
      <c r="J59" s="30"/>
      <c r="K59" s="14" t="n">
        <f aca="false">INDEX(Matriz!$C$7:$E$9,H59,I59)</f>
        <v>150</v>
      </c>
      <c r="L59" s="14" t="n">
        <f aca="false">IF(J59="",0,IF(J59&lt;Matriz!$B$14,Matriz!$C$13,IF(J59&lt;Matriz!$B$15,Matriz!$C$14,IF(J59&lt;Matriz!$B$16,Matriz!$C$15,Matriz!$C$16))))</f>
        <v>0</v>
      </c>
      <c r="M59" s="14" t="n">
        <f aca="false">IF(ISNUMBER(SEARCH("Seguridad",S59)),Matriz!$C$20,0)</f>
        <v>0</v>
      </c>
      <c r="N59" s="31" t="n">
        <f aca="false">K59+MIN(M59,Matriz!$C$24)</f>
        <v>150</v>
      </c>
      <c r="O59" s="33"/>
      <c r="P59" s="29" t="s">
        <v>420</v>
      </c>
      <c r="Q59" s="29" t="s">
        <v>421</v>
      </c>
      <c r="R59" s="27" t="s">
        <v>422</v>
      </c>
      <c r="S59" s="28" t="s">
        <v>423</v>
      </c>
      <c r="T59" s="1" t="s">
        <v>424</v>
      </c>
      <c r="U59" s="1" t="s">
        <v>425</v>
      </c>
    </row>
    <row r="60" customFormat="false" ht="15" hidden="false" customHeight="true" outlineLevel="0" collapsed="false">
      <c r="A60" s="14" t="n">
        <v>56</v>
      </c>
      <c r="B60" s="14" t="s">
        <v>426</v>
      </c>
      <c r="C60" s="14" t="s">
        <v>113</v>
      </c>
      <c r="D60" s="14" t="s">
        <v>427</v>
      </c>
      <c r="E60" s="14" t="s">
        <v>61</v>
      </c>
      <c r="F60" s="14" t="s">
        <v>140</v>
      </c>
      <c r="G60" s="29" t="s">
        <v>63</v>
      </c>
      <c r="H60" s="15" t="n">
        <v>3</v>
      </c>
      <c r="I60" s="15" t="n">
        <v>3</v>
      </c>
      <c r="J60" s="30"/>
      <c r="K60" s="14" t="n">
        <f aca="false">INDEX(Matriz!$C$7:$E$9,H60,I60)</f>
        <v>450</v>
      </c>
      <c r="L60" s="14" t="n">
        <f aca="false">IF(J60="",0,IF(J60&lt;Matriz!$B$14,Matriz!$C$13,IF(J60&lt;Matriz!$B$15,Matriz!$C$14,IF(J60&lt;Matriz!$B$16,Matriz!$C$15,Matriz!$C$16))))</f>
        <v>0</v>
      </c>
      <c r="M60" s="14" t="n">
        <f aca="false">IF(ISNUMBER(SEARCH("Seguridad",S60)),Matriz!$C$20,0)</f>
        <v>0</v>
      </c>
      <c r="N60" s="31" t="n">
        <f aca="false">K60+MIN(M60,Matriz!$C$24)</f>
        <v>450</v>
      </c>
      <c r="O60" s="33"/>
      <c r="P60" s="29" t="s">
        <v>428</v>
      </c>
      <c r="Q60" s="29" t="s">
        <v>429</v>
      </c>
      <c r="R60" s="27" t="s">
        <v>427</v>
      </c>
      <c r="S60" s="28" t="s">
        <v>68</v>
      </c>
      <c r="T60" s="1" t="s">
        <v>430</v>
      </c>
      <c r="U60" s="1" t="s">
        <v>431</v>
      </c>
    </row>
    <row r="61" customFormat="false" ht="15" hidden="false" customHeight="true" outlineLevel="0" collapsed="false">
      <c r="A61" s="14" t="n">
        <v>57</v>
      </c>
      <c r="B61" s="14" t="s">
        <v>270</v>
      </c>
      <c r="C61" s="14" t="s">
        <v>113</v>
      </c>
      <c r="D61" s="14" t="s">
        <v>89</v>
      </c>
      <c r="E61" s="14" t="s">
        <v>90</v>
      </c>
      <c r="F61" s="14" t="s">
        <v>74</v>
      </c>
      <c r="G61" s="29" t="s">
        <v>74</v>
      </c>
      <c r="H61" s="15" t="n">
        <v>3</v>
      </c>
      <c r="I61" s="15" t="n">
        <v>2</v>
      </c>
      <c r="J61" s="30"/>
      <c r="K61" s="14" t="n">
        <f aca="false">INDEX(Matriz!$C$7:$E$9,H61,I61)</f>
        <v>300</v>
      </c>
      <c r="L61" s="14" t="n">
        <f aca="false">IF(J61="",0,IF(J61&lt;Matriz!$B$14,Matriz!$C$13,IF(J61&lt;Matriz!$B$15,Matriz!$C$14,IF(J61&lt;Matriz!$B$16,Matriz!$C$15,Matriz!$C$16))))</f>
        <v>0</v>
      </c>
      <c r="M61" s="14" t="n">
        <f aca="false">IF(ISNUMBER(SEARCH("Seguridad",S61)),Matriz!$C$20,0)</f>
        <v>0</v>
      </c>
      <c r="N61" s="31" t="n">
        <f aca="false">K61+MIN(M61,Matriz!$C$24)</f>
        <v>300</v>
      </c>
      <c r="O61" s="33"/>
      <c r="P61" s="29" t="s">
        <v>432</v>
      </c>
      <c r="Q61" s="29" t="s">
        <v>433</v>
      </c>
      <c r="R61" s="27" t="s">
        <v>93</v>
      </c>
      <c r="S61" s="28" t="s">
        <v>195</v>
      </c>
      <c r="T61" s="1" t="s">
        <v>434</v>
      </c>
      <c r="U61" s="1" t="s">
        <v>96</v>
      </c>
    </row>
    <row r="62" customFormat="false" ht="15" hidden="false" customHeight="true" outlineLevel="0" collapsed="false">
      <c r="A62" s="14" t="n">
        <v>58</v>
      </c>
      <c r="B62" s="14" t="s">
        <v>390</v>
      </c>
      <c r="C62" s="14" t="s">
        <v>113</v>
      </c>
      <c r="D62" s="14" t="s">
        <v>435</v>
      </c>
      <c r="E62" s="14" t="s">
        <v>90</v>
      </c>
      <c r="F62" s="14" t="s">
        <v>248</v>
      </c>
      <c r="G62" s="29" t="s">
        <v>74</v>
      </c>
      <c r="H62" s="15" t="n">
        <v>3</v>
      </c>
      <c r="I62" s="15" t="n">
        <v>2</v>
      </c>
      <c r="J62" s="30"/>
      <c r="K62" s="14" t="n">
        <f aca="false">INDEX(Matriz!$C$7:$E$9,H62,I62)</f>
        <v>300</v>
      </c>
      <c r="L62" s="14" t="n">
        <f aca="false">IF(J62="",0,IF(J62&lt;Matriz!$B$14,Matriz!$C$13,IF(J62&lt;Matriz!$B$15,Matriz!$C$14,IF(J62&lt;Matriz!$B$16,Matriz!$C$15,Matriz!$C$16))))</f>
        <v>0</v>
      </c>
      <c r="M62" s="14" t="n">
        <f aca="false">IF(ISNUMBER(SEARCH("Seguridad",S62)),Matriz!$C$20,0)</f>
        <v>0</v>
      </c>
      <c r="N62" s="31" t="n">
        <f aca="false">K62+MIN(M62,Matriz!$C$24)</f>
        <v>300</v>
      </c>
      <c r="O62" s="33"/>
      <c r="P62" s="29" t="s">
        <v>436</v>
      </c>
      <c r="Q62" s="29" t="s">
        <v>437</v>
      </c>
      <c r="R62" s="27" t="s">
        <v>438</v>
      </c>
      <c r="S62" s="28" t="s">
        <v>439</v>
      </c>
      <c r="T62" s="1" t="s">
        <v>440</v>
      </c>
      <c r="U62" s="1" t="s">
        <v>441</v>
      </c>
    </row>
    <row r="63" customFormat="false" ht="15" hidden="false" customHeight="true" outlineLevel="0" collapsed="false">
      <c r="A63" s="14" t="n">
        <v>59</v>
      </c>
      <c r="B63" s="14" t="s">
        <v>442</v>
      </c>
      <c r="C63" s="14" t="s">
        <v>104</v>
      </c>
      <c r="D63" s="14" t="s">
        <v>435</v>
      </c>
      <c r="E63" s="14" t="s">
        <v>90</v>
      </c>
      <c r="F63" s="14" t="s">
        <v>248</v>
      </c>
      <c r="G63" s="29" t="s">
        <v>74</v>
      </c>
      <c r="H63" s="15" t="n">
        <v>3</v>
      </c>
      <c r="I63" s="15" t="n">
        <v>2</v>
      </c>
      <c r="J63" s="30"/>
      <c r="K63" s="14" t="n">
        <f aca="false">INDEX(Matriz!$C$7:$E$9,H63,I63)</f>
        <v>300</v>
      </c>
      <c r="L63" s="14" t="n">
        <f aca="false">IF(J63="",0,IF(J63&lt;Matriz!$B$14,Matriz!$C$13,IF(J63&lt;Matriz!$B$15,Matriz!$C$14,IF(J63&lt;Matriz!$B$16,Matriz!$C$15,Matriz!$C$16))))</f>
        <v>0</v>
      </c>
      <c r="M63" s="14" t="n">
        <f aca="false">IF(ISNUMBER(SEARCH("Seguridad",S63)),Matriz!$C$20,0)</f>
        <v>0</v>
      </c>
      <c r="N63" s="31" t="n">
        <f aca="false">K63+MIN(M63,Matriz!$C$24)</f>
        <v>300</v>
      </c>
      <c r="O63" s="33"/>
      <c r="P63" s="29" t="s">
        <v>443</v>
      </c>
      <c r="Q63" s="29" t="s">
        <v>444</v>
      </c>
      <c r="R63" s="27" t="s">
        <v>438</v>
      </c>
      <c r="S63" s="28" t="s">
        <v>445</v>
      </c>
      <c r="T63" s="1" t="s">
        <v>446</v>
      </c>
      <c r="U63" s="1" t="s">
        <v>441</v>
      </c>
    </row>
    <row r="64" customFormat="false" ht="15" hidden="false" customHeight="true" outlineLevel="0" collapsed="false">
      <c r="A64" s="14" t="n">
        <v>60</v>
      </c>
      <c r="B64" s="14" t="s">
        <v>310</v>
      </c>
      <c r="C64" s="14" t="s">
        <v>113</v>
      </c>
      <c r="D64" s="14" t="s">
        <v>447</v>
      </c>
      <c r="E64" s="14" t="s">
        <v>163</v>
      </c>
      <c r="F64" s="14" t="s">
        <v>74</v>
      </c>
      <c r="G64" s="29" t="s">
        <v>115</v>
      </c>
      <c r="H64" s="15" t="n">
        <v>2</v>
      </c>
      <c r="I64" s="15" t="n">
        <v>2</v>
      </c>
      <c r="J64" s="30"/>
      <c r="K64" s="14" t="n">
        <f aca="false">INDEX(Matriz!$C$7:$E$9,H64,I64)</f>
        <v>200</v>
      </c>
      <c r="L64" s="14" t="n">
        <f aca="false">IF(J64="",0,IF(J64&lt;Matriz!$B$14,Matriz!$C$13,IF(J64&lt;Matriz!$B$15,Matriz!$C$14,IF(J64&lt;Matriz!$B$16,Matriz!$C$15,Matriz!$C$16))))</f>
        <v>0</v>
      </c>
      <c r="M64" s="14" t="n">
        <f aca="false">IF(ISNUMBER(SEARCH("Seguridad",S64)),Matriz!$C$20,0)</f>
        <v>0</v>
      </c>
      <c r="N64" s="31" t="n">
        <f aca="false">K64+MIN(M64,Matriz!$C$24)</f>
        <v>200</v>
      </c>
      <c r="O64" s="33"/>
      <c r="P64" s="29" t="s">
        <v>448</v>
      </c>
      <c r="Q64" s="29" t="s">
        <v>449</v>
      </c>
      <c r="R64" s="27" t="s">
        <v>167</v>
      </c>
      <c r="S64" s="28" t="s">
        <v>187</v>
      </c>
      <c r="T64" s="1" t="s">
        <v>450</v>
      </c>
      <c r="U64" s="1" t="s">
        <v>451</v>
      </c>
    </row>
    <row r="65" customFormat="false" ht="15" hidden="false" customHeight="true" outlineLevel="0" collapsed="false">
      <c r="A65" s="14" t="n">
        <v>61</v>
      </c>
      <c r="B65" s="14" t="s">
        <v>452</v>
      </c>
      <c r="C65" s="14" t="s">
        <v>358</v>
      </c>
      <c r="D65" s="14" t="s">
        <v>341</v>
      </c>
      <c r="E65" s="14" t="s">
        <v>73</v>
      </c>
      <c r="F65" s="14" t="s">
        <v>257</v>
      </c>
      <c r="G65" s="29" t="s">
        <v>53</v>
      </c>
      <c r="H65" s="15" t="n">
        <v>3</v>
      </c>
      <c r="I65" s="15" t="n">
        <v>2</v>
      </c>
      <c r="J65" s="30"/>
      <c r="K65" s="14" t="n">
        <f aca="false">INDEX(Matriz!$C$7:$E$9,H65,I65)</f>
        <v>300</v>
      </c>
      <c r="L65" s="14" t="n">
        <f aca="false">IF(J65="",0,IF(J65&lt;Matriz!$B$14,Matriz!$C$13,IF(J65&lt;Matriz!$B$15,Matriz!$C$14,IF(J65&lt;Matriz!$B$16,Matriz!$C$15,Matriz!$C$16))))</f>
        <v>0</v>
      </c>
      <c r="M65" s="14" t="n">
        <f aca="false">IF(ISNUMBER(SEARCH("Seguridad",S65)),Matriz!$C$20,0)</f>
        <v>100</v>
      </c>
      <c r="N65" s="31" t="n">
        <f aca="false">K65+MIN(M65,Matriz!$C$24)</f>
        <v>400</v>
      </c>
      <c r="O65" s="33"/>
      <c r="P65" s="29" t="s">
        <v>453</v>
      </c>
      <c r="Q65" s="29" t="s">
        <v>454</v>
      </c>
      <c r="R65" s="27" t="s">
        <v>344</v>
      </c>
      <c r="S65" s="28" t="s">
        <v>53</v>
      </c>
      <c r="T65" s="1"/>
      <c r="U65" s="1" t="s">
        <v>346</v>
      </c>
    </row>
    <row r="66" customFormat="false" ht="15" hidden="false" customHeight="true" outlineLevel="0" collapsed="false">
      <c r="A66" s="14" t="n">
        <v>62</v>
      </c>
      <c r="B66" s="14" t="s">
        <v>270</v>
      </c>
      <c r="C66" s="14" t="s">
        <v>113</v>
      </c>
      <c r="D66" s="14" t="s">
        <v>455</v>
      </c>
      <c r="E66" s="14" t="s">
        <v>163</v>
      </c>
      <c r="F66" s="14" t="s">
        <v>106</v>
      </c>
      <c r="G66" s="29" t="s">
        <v>115</v>
      </c>
      <c r="H66" s="15" t="n">
        <v>2</v>
      </c>
      <c r="I66" s="15" t="n">
        <v>3</v>
      </c>
      <c r="J66" s="30"/>
      <c r="K66" s="14" t="n">
        <f aca="false">INDEX(Matriz!$C$7:$E$9,H66,I66)</f>
        <v>300</v>
      </c>
      <c r="L66" s="14" t="n">
        <f aca="false">IF(J66="",0,IF(J66&lt;Matriz!$B$14,Matriz!$C$13,IF(J66&lt;Matriz!$B$15,Matriz!$C$14,IF(J66&lt;Matriz!$B$16,Matriz!$C$15,Matriz!$C$16))))</f>
        <v>0</v>
      </c>
      <c r="M66" s="14" t="n">
        <f aca="false">IF(ISNUMBER(SEARCH("Seguridad",S66)),Matriz!$C$20,0)</f>
        <v>0</v>
      </c>
      <c r="N66" s="31" t="n">
        <f aca="false">K66+MIN(M66,Matriz!$C$24)</f>
        <v>300</v>
      </c>
      <c r="O66" s="33"/>
      <c r="P66" s="29" t="s">
        <v>456</v>
      </c>
      <c r="Q66" s="29" t="s">
        <v>457</v>
      </c>
      <c r="R66" s="27" t="s">
        <v>458</v>
      </c>
      <c r="S66" s="28" t="s">
        <v>187</v>
      </c>
      <c r="T66" s="1" t="s">
        <v>459</v>
      </c>
      <c r="U66" s="1" t="s">
        <v>460</v>
      </c>
    </row>
    <row r="67" customFormat="false" ht="15" hidden="false" customHeight="true" outlineLevel="0" collapsed="false">
      <c r="A67" s="14" t="n">
        <v>63</v>
      </c>
      <c r="B67" s="14" t="s">
        <v>461</v>
      </c>
      <c r="C67" s="14" t="s">
        <v>358</v>
      </c>
      <c r="D67" s="14" t="s">
        <v>462</v>
      </c>
      <c r="E67" s="14" t="s">
        <v>51</v>
      </c>
      <c r="F67" s="14" t="s">
        <v>99</v>
      </c>
      <c r="G67" s="29" t="s">
        <v>74</v>
      </c>
      <c r="H67" s="15" t="n">
        <v>3</v>
      </c>
      <c r="I67" s="15" t="n">
        <v>2</v>
      </c>
      <c r="J67" s="30"/>
      <c r="K67" s="14" t="n">
        <f aca="false">INDEX(Matriz!$C$7:$E$9,H67,I67)</f>
        <v>300</v>
      </c>
      <c r="L67" s="14" t="n">
        <f aca="false">IF(J67="",0,IF(J67&lt;Matriz!$B$14,Matriz!$C$13,IF(J67&lt;Matriz!$B$15,Matriz!$C$14,IF(J67&lt;Matriz!$B$16,Matriz!$C$15,Matriz!$C$16))))</f>
        <v>0</v>
      </c>
      <c r="M67" s="14" t="n">
        <f aca="false">IF(ISNUMBER(SEARCH("Seguridad",S67)),Matriz!$C$20,0)</f>
        <v>0</v>
      </c>
      <c r="N67" s="31" t="n">
        <f aca="false">K67+MIN(M67,Matriz!$C$24)</f>
        <v>300</v>
      </c>
      <c r="O67" s="33"/>
      <c r="P67" s="29" t="s">
        <v>463</v>
      </c>
      <c r="Q67" s="29" t="s">
        <v>464</v>
      </c>
      <c r="R67" s="27" t="s">
        <v>465</v>
      </c>
      <c r="S67" s="28" t="s">
        <v>371</v>
      </c>
      <c r="T67" s="1" t="s">
        <v>466</v>
      </c>
      <c r="U67" s="1" t="s">
        <v>467</v>
      </c>
    </row>
    <row r="68" customFormat="false" ht="15" hidden="false" customHeight="true" outlineLevel="0" collapsed="false">
      <c r="A68" s="14" t="n">
        <v>64</v>
      </c>
      <c r="B68" s="14" t="s">
        <v>307</v>
      </c>
      <c r="C68" s="14" t="s">
        <v>113</v>
      </c>
      <c r="D68" s="14" t="s">
        <v>131</v>
      </c>
      <c r="E68" s="14" t="s">
        <v>90</v>
      </c>
      <c r="F68" s="14" t="s">
        <v>132</v>
      </c>
      <c r="G68" s="29" t="s">
        <v>115</v>
      </c>
      <c r="H68" s="15" t="n">
        <v>2</v>
      </c>
      <c r="I68" s="15" t="n">
        <v>2</v>
      </c>
      <c r="J68" s="30"/>
      <c r="K68" s="14" t="n">
        <f aca="false">INDEX(Matriz!$C$7:$E$9,H68,I68)</f>
        <v>200</v>
      </c>
      <c r="L68" s="14" t="n">
        <f aca="false">IF(J68="",0,IF(J68&lt;Matriz!$B$14,Matriz!$C$13,IF(J68&lt;Matriz!$B$15,Matriz!$C$14,IF(J68&lt;Matriz!$B$16,Matriz!$C$15,Matriz!$C$16))))</f>
        <v>0</v>
      </c>
      <c r="M68" s="14" t="n">
        <f aca="false">IF(ISNUMBER(SEARCH("Seguridad",S68)),Matriz!$C$20,0)</f>
        <v>0</v>
      </c>
      <c r="N68" s="31" t="n">
        <f aca="false">K68+MIN(M68,Matriz!$C$24)</f>
        <v>200</v>
      </c>
      <c r="O68" s="33"/>
      <c r="P68" s="29" t="s">
        <v>133</v>
      </c>
      <c r="Q68" s="29" t="s">
        <v>468</v>
      </c>
      <c r="R68" s="27" t="s">
        <v>135</v>
      </c>
      <c r="S68" s="28" t="s">
        <v>119</v>
      </c>
      <c r="T68" s="1" t="s">
        <v>469</v>
      </c>
      <c r="U68" s="1" t="s">
        <v>138</v>
      </c>
    </row>
    <row r="69" customFormat="false" ht="15" hidden="false" customHeight="true" outlineLevel="0" collapsed="false">
      <c r="A69" s="14" t="n">
        <v>65</v>
      </c>
      <c r="B69" s="14" t="s">
        <v>470</v>
      </c>
      <c r="C69" s="14" t="s">
        <v>358</v>
      </c>
      <c r="D69" s="14" t="s">
        <v>256</v>
      </c>
      <c r="E69" s="14" t="s">
        <v>90</v>
      </c>
      <c r="F69" s="14" t="s">
        <v>257</v>
      </c>
      <c r="G69" s="29" t="s">
        <v>53</v>
      </c>
      <c r="H69" s="15" t="n">
        <v>3</v>
      </c>
      <c r="I69" s="15" t="n">
        <v>3</v>
      </c>
      <c r="J69" s="30"/>
      <c r="K69" s="14" t="n">
        <f aca="false">INDEX(Matriz!$C$7:$E$9,H69,I69)</f>
        <v>450</v>
      </c>
      <c r="L69" s="14" t="n">
        <f aca="false">IF(J69="",0,IF(J69&lt;Matriz!$B$14,Matriz!$C$13,IF(J69&lt;Matriz!$B$15,Matriz!$C$14,IF(J69&lt;Matriz!$B$16,Matriz!$C$15,Matriz!$C$16))))</f>
        <v>0</v>
      </c>
      <c r="M69" s="14" t="n">
        <f aca="false">IF(ISNUMBER(SEARCH("Seguridad",S69)),Matriz!$C$20,0)</f>
        <v>100</v>
      </c>
      <c r="N69" s="31" t="n">
        <f aca="false">K69+MIN(M69,Matriz!$C$24)</f>
        <v>550</v>
      </c>
      <c r="O69" s="33"/>
      <c r="P69" s="29" t="s">
        <v>471</v>
      </c>
      <c r="Q69" s="29" t="s">
        <v>472</v>
      </c>
      <c r="R69" s="27" t="s">
        <v>260</v>
      </c>
      <c r="S69" s="28" t="s">
        <v>53</v>
      </c>
      <c r="T69" s="1" t="s">
        <v>473</v>
      </c>
      <c r="U69" s="1" t="s">
        <v>262</v>
      </c>
    </row>
    <row r="70" customFormat="false" ht="15" hidden="false" customHeight="true" outlineLevel="0" collapsed="false">
      <c r="A70" s="14" t="n">
        <v>66</v>
      </c>
      <c r="B70" s="14" t="s">
        <v>474</v>
      </c>
      <c r="C70" s="14" t="s">
        <v>358</v>
      </c>
      <c r="D70" s="14" t="s">
        <v>475</v>
      </c>
      <c r="E70" s="14" t="s">
        <v>90</v>
      </c>
      <c r="F70" s="14" t="s">
        <v>74</v>
      </c>
      <c r="G70" s="29" t="s">
        <v>74</v>
      </c>
      <c r="H70" s="15" t="n">
        <v>3</v>
      </c>
      <c r="I70" s="15" t="n">
        <v>3</v>
      </c>
      <c r="J70" s="30"/>
      <c r="K70" s="14" t="n">
        <f aca="false">INDEX(Matriz!$C$7:$E$9,H70,I70)</f>
        <v>450</v>
      </c>
      <c r="L70" s="14" t="n">
        <f aca="false">IF(J70="",0,IF(J70&lt;Matriz!$B$14,Matriz!$C$13,IF(J70&lt;Matriz!$B$15,Matriz!$C$14,IF(J70&lt;Matriz!$B$16,Matriz!$C$15,Matriz!$C$16))))</f>
        <v>0</v>
      </c>
      <c r="M70" s="14" t="n">
        <f aca="false">IF(ISNUMBER(SEARCH("Seguridad",S70)),Matriz!$C$20,0)</f>
        <v>0</v>
      </c>
      <c r="N70" s="31" t="n">
        <f aca="false">K70+MIN(M70,Matriz!$C$24)</f>
        <v>450</v>
      </c>
      <c r="O70" s="33"/>
      <c r="P70" s="29" t="s">
        <v>476</v>
      </c>
      <c r="Q70" s="29" t="s">
        <v>477</v>
      </c>
      <c r="R70" s="27" t="s">
        <v>478</v>
      </c>
      <c r="S70" s="28" t="s">
        <v>210</v>
      </c>
      <c r="T70" s="1" t="s">
        <v>479</v>
      </c>
      <c r="U70" s="1" t="s">
        <v>480</v>
      </c>
    </row>
    <row r="71" customFormat="false" ht="15" hidden="false" customHeight="true" outlineLevel="0" collapsed="false">
      <c r="A71" s="14" t="n">
        <v>67</v>
      </c>
      <c r="B71" s="14" t="s">
        <v>470</v>
      </c>
      <c r="C71" s="14" t="s">
        <v>358</v>
      </c>
      <c r="D71" s="14" t="s">
        <v>481</v>
      </c>
      <c r="E71" s="14" t="s">
        <v>90</v>
      </c>
      <c r="F71" s="14" t="s">
        <v>74</v>
      </c>
      <c r="G71" s="29" t="s">
        <v>115</v>
      </c>
      <c r="H71" s="15" t="n">
        <v>2</v>
      </c>
      <c r="I71" s="15" t="n">
        <v>3</v>
      </c>
      <c r="J71" s="30"/>
      <c r="K71" s="14" t="n">
        <f aca="false">INDEX(Matriz!$C$7:$E$9,H71,I71)</f>
        <v>300</v>
      </c>
      <c r="L71" s="14" t="n">
        <f aca="false">IF(J71="",0,IF(J71&lt;Matriz!$B$14,Matriz!$C$13,IF(J71&lt;Matriz!$B$15,Matriz!$C$14,IF(J71&lt;Matriz!$B$16,Matriz!$C$15,Matriz!$C$16))))</f>
        <v>0</v>
      </c>
      <c r="M71" s="14" t="n">
        <f aca="false">IF(ISNUMBER(SEARCH("Seguridad",S71)),Matriz!$C$20,0)</f>
        <v>0</v>
      </c>
      <c r="N71" s="31" t="n">
        <f aca="false">K71+MIN(M71,Matriz!$C$24)</f>
        <v>300</v>
      </c>
      <c r="O71" s="33"/>
      <c r="P71" s="29" t="s">
        <v>482</v>
      </c>
      <c r="Q71" s="29" t="s">
        <v>483</v>
      </c>
      <c r="R71" s="27" t="s">
        <v>484</v>
      </c>
      <c r="S71" s="28" t="s">
        <v>144</v>
      </c>
      <c r="T71" s="1"/>
      <c r="U71" s="1" t="s">
        <v>485</v>
      </c>
    </row>
    <row r="72" customFormat="false" ht="15" hidden="false" customHeight="true" outlineLevel="0" collapsed="false">
      <c r="A72" s="14" t="n">
        <v>68</v>
      </c>
      <c r="B72" s="14" t="s">
        <v>486</v>
      </c>
      <c r="C72" s="14" t="s">
        <v>358</v>
      </c>
      <c r="D72" s="14" t="s">
        <v>114</v>
      </c>
      <c r="E72" s="14" t="s">
        <v>90</v>
      </c>
      <c r="F72" s="14" t="s">
        <v>99</v>
      </c>
      <c r="G72" s="29" t="s">
        <v>74</v>
      </c>
      <c r="H72" s="15" t="n">
        <v>3</v>
      </c>
      <c r="I72" s="15" t="n">
        <v>2</v>
      </c>
      <c r="J72" s="30"/>
      <c r="K72" s="14" t="n">
        <f aca="false">INDEX(Matriz!$C$7:$E$9,H72,I72)</f>
        <v>300</v>
      </c>
      <c r="L72" s="14" t="n">
        <f aca="false">IF(J72="",0,IF(J72&lt;Matriz!$B$14,Matriz!$C$13,IF(J72&lt;Matriz!$B$15,Matriz!$C$14,IF(J72&lt;Matriz!$B$16,Matriz!$C$15,Matriz!$C$16))))</f>
        <v>0</v>
      </c>
      <c r="M72" s="14" t="n">
        <f aca="false">IF(ISNUMBER(SEARCH("Seguridad",S72)),Matriz!$C$20,0)</f>
        <v>0</v>
      </c>
      <c r="N72" s="31" t="n">
        <f aca="false">K72+MIN(M72,Matriz!$C$24)</f>
        <v>300</v>
      </c>
      <c r="O72" s="33"/>
      <c r="P72" s="29" t="s">
        <v>487</v>
      </c>
      <c r="Q72" s="29" t="s">
        <v>488</v>
      </c>
      <c r="R72" s="27" t="s">
        <v>118</v>
      </c>
      <c r="S72" s="28" t="s">
        <v>489</v>
      </c>
      <c r="T72" s="1" t="s">
        <v>490</v>
      </c>
      <c r="U72" s="1" t="s">
        <v>121</v>
      </c>
    </row>
    <row r="73" customFormat="false" ht="15" hidden="false" customHeight="true" outlineLevel="0" collapsed="false">
      <c r="A73" s="14" t="n">
        <v>69</v>
      </c>
      <c r="B73" s="14" t="s">
        <v>357</v>
      </c>
      <c r="C73" s="14" t="s">
        <v>358</v>
      </c>
      <c r="D73" s="14" t="s">
        <v>282</v>
      </c>
      <c r="E73" s="14" t="s">
        <v>51</v>
      </c>
      <c r="F73" s="14" t="s">
        <v>140</v>
      </c>
      <c r="G73" s="29" t="s">
        <v>115</v>
      </c>
      <c r="H73" s="15" t="n">
        <v>2</v>
      </c>
      <c r="I73" s="15" t="n">
        <v>3</v>
      </c>
      <c r="J73" s="30"/>
      <c r="K73" s="14" t="n">
        <f aca="false">INDEX(Matriz!$C$7:$E$9,H73,I73)</f>
        <v>300</v>
      </c>
      <c r="L73" s="14" t="n">
        <f aca="false">IF(J73="",0,IF(J73&lt;Matriz!$B$14,Matriz!$C$13,IF(J73&lt;Matriz!$B$15,Matriz!$C$14,IF(J73&lt;Matriz!$B$16,Matriz!$C$15,Matriz!$C$16))))</f>
        <v>0</v>
      </c>
      <c r="M73" s="14" t="n">
        <f aca="false">IF(ISNUMBER(SEARCH("Seguridad",S73)),Matriz!$C$20,0)</f>
        <v>0</v>
      </c>
      <c r="N73" s="31" t="n">
        <f aca="false">K73+MIN(M73,Matriz!$C$24)</f>
        <v>300</v>
      </c>
      <c r="O73" s="33"/>
      <c r="P73" s="29" t="s">
        <v>491</v>
      </c>
      <c r="Q73" s="29" t="s">
        <v>492</v>
      </c>
      <c r="R73" s="27" t="s">
        <v>285</v>
      </c>
      <c r="S73" s="28" t="s">
        <v>144</v>
      </c>
      <c r="T73" s="1" t="s">
        <v>493</v>
      </c>
      <c r="U73" s="1" t="s">
        <v>288</v>
      </c>
    </row>
    <row r="74" customFormat="false" ht="15" hidden="false" customHeight="true" outlineLevel="0" collapsed="false">
      <c r="A74" s="14" t="n">
        <v>70</v>
      </c>
      <c r="B74" s="14" t="s">
        <v>494</v>
      </c>
      <c r="C74" s="14" t="s">
        <v>358</v>
      </c>
      <c r="D74" s="14" t="s">
        <v>495</v>
      </c>
      <c r="E74" s="14" t="s">
        <v>51</v>
      </c>
      <c r="F74" s="14" t="s">
        <v>74</v>
      </c>
      <c r="G74" s="29" t="s">
        <v>115</v>
      </c>
      <c r="H74" s="15" t="n">
        <v>2</v>
      </c>
      <c r="I74" s="15" t="n">
        <v>1</v>
      </c>
      <c r="J74" s="30"/>
      <c r="K74" s="14" t="n">
        <f aca="false">INDEX(Matriz!$C$7:$E$9,H74,I74)</f>
        <v>100</v>
      </c>
      <c r="L74" s="14" t="n">
        <f aca="false">IF(J74="",0,IF(J74&lt;Matriz!$B$14,Matriz!$C$13,IF(J74&lt;Matriz!$B$15,Matriz!$C$14,IF(J74&lt;Matriz!$B$16,Matriz!$C$15,Matriz!$C$16))))</f>
        <v>0</v>
      </c>
      <c r="M74" s="14" t="n">
        <f aca="false">IF(ISNUMBER(SEARCH("Seguridad",S74)),Matriz!$C$20,0)</f>
        <v>0</v>
      </c>
      <c r="N74" s="31" t="n">
        <f aca="false">K74+MIN(M74,Matriz!$C$24)</f>
        <v>100</v>
      </c>
      <c r="O74" s="33"/>
      <c r="P74" s="29" t="s">
        <v>496</v>
      </c>
      <c r="Q74" s="29" t="s">
        <v>497</v>
      </c>
      <c r="R74" s="27" t="s">
        <v>498</v>
      </c>
      <c r="S74" s="28" t="s">
        <v>499</v>
      </c>
      <c r="T74" s="1" t="s">
        <v>500</v>
      </c>
      <c r="U74" s="1" t="s">
        <v>501</v>
      </c>
    </row>
    <row r="75" customFormat="false" ht="15" hidden="false" customHeight="true" outlineLevel="0" collapsed="false">
      <c r="A75" s="14" t="n">
        <v>71</v>
      </c>
      <c r="B75" s="14" t="s">
        <v>307</v>
      </c>
      <c r="C75" s="14" t="s">
        <v>113</v>
      </c>
      <c r="D75" s="14" t="s">
        <v>247</v>
      </c>
      <c r="E75" s="14" t="s">
        <v>51</v>
      </c>
      <c r="F75" s="14" t="s">
        <v>502</v>
      </c>
      <c r="G75" s="29" t="s">
        <v>115</v>
      </c>
      <c r="H75" s="15" t="n">
        <v>2</v>
      </c>
      <c r="I75" s="15" t="n">
        <v>1</v>
      </c>
      <c r="J75" s="30"/>
      <c r="K75" s="14" t="n">
        <f aca="false">INDEX(Matriz!$C$7:$E$9,H75,I75)</f>
        <v>100</v>
      </c>
      <c r="L75" s="14" t="n">
        <f aca="false">IF(J75="",0,IF(J75&lt;Matriz!$B$14,Matriz!$C$13,IF(J75&lt;Matriz!$B$15,Matriz!$C$14,IF(J75&lt;Matriz!$B$16,Matriz!$C$15,Matriz!$C$16))))</f>
        <v>0</v>
      </c>
      <c r="M75" s="14" t="n">
        <f aca="false">IF(ISNUMBER(SEARCH("Seguridad",S75)),Matriz!$C$20,0)</f>
        <v>0</v>
      </c>
      <c r="N75" s="31" t="n">
        <f aca="false">K75+MIN(M75,Matriz!$C$24)</f>
        <v>100</v>
      </c>
      <c r="O75" s="33"/>
      <c r="P75" s="29" t="s">
        <v>503</v>
      </c>
      <c r="Q75" s="29" t="s">
        <v>504</v>
      </c>
      <c r="R75" s="27" t="s">
        <v>251</v>
      </c>
      <c r="S75" s="28" t="s">
        <v>187</v>
      </c>
      <c r="T75" s="1" t="s">
        <v>505</v>
      </c>
      <c r="U75" s="1" t="s">
        <v>254</v>
      </c>
    </row>
    <row r="76" customFormat="false" ht="15" hidden="false" customHeight="true" outlineLevel="0" collapsed="false">
      <c r="A76" s="14" t="n">
        <v>72</v>
      </c>
      <c r="B76" s="14" t="s">
        <v>506</v>
      </c>
      <c r="C76" s="14" t="s">
        <v>358</v>
      </c>
      <c r="D76" s="14" t="s">
        <v>507</v>
      </c>
      <c r="E76" s="14" t="s">
        <v>73</v>
      </c>
      <c r="F76" s="14" t="s">
        <v>140</v>
      </c>
      <c r="G76" s="29" t="s">
        <v>115</v>
      </c>
      <c r="H76" s="15" t="n">
        <v>3</v>
      </c>
      <c r="I76" s="15" t="n">
        <v>3</v>
      </c>
      <c r="J76" s="30"/>
      <c r="K76" s="14" t="n">
        <f aca="false">INDEX(Matriz!$C$7:$E$9,H76,I76)</f>
        <v>450</v>
      </c>
      <c r="L76" s="14" t="n">
        <f aca="false">IF(J76="",0,IF(J76&lt;Matriz!$B$14,Matriz!$C$13,IF(J76&lt;Matriz!$B$15,Matriz!$C$14,IF(J76&lt;Matriz!$B$16,Matriz!$C$15,Matriz!$C$16))))</f>
        <v>0</v>
      </c>
      <c r="M76" s="14" t="n">
        <f aca="false">IF(ISNUMBER(SEARCH("Seguridad",S76)),Matriz!$C$20,0)</f>
        <v>0</v>
      </c>
      <c r="N76" s="31" t="n">
        <f aca="false">K76+MIN(M76,Matriz!$C$24)</f>
        <v>450</v>
      </c>
      <c r="O76" s="33"/>
      <c r="P76" s="29" t="s">
        <v>508</v>
      </c>
      <c r="Q76" s="29" t="s">
        <v>509</v>
      </c>
      <c r="R76" s="27" t="s">
        <v>510</v>
      </c>
      <c r="S76" s="28" t="s">
        <v>511</v>
      </c>
      <c r="T76" s="1" t="s">
        <v>512</v>
      </c>
      <c r="U76" s="1" t="s">
        <v>513</v>
      </c>
    </row>
    <row r="77" customFormat="false" ht="15" hidden="false" customHeight="true" outlineLevel="0" collapsed="false">
      <c r="A77" s="14" t="n">
        <v>73</v>
      </c>
      <c r="B77" s="14" t="s">
        <v>514</v>
      </c>
      <c r="C77" s="14" t="s">
        <v>358</v>
      </c>
      <c r="D77" s="14" t="s">
        <v>198</v>
      </c>
      <c r="E77" s="14" t="s">
        <v>51</v>
      </c>
      <c r="F77" s="14" t="s">
        <v>173</v>
      </c>
      <c r="G77" s="29" t="s">
        <v>74</v>
      </c>
      <c r="H77" s="15" t="n">
        <v>3</v>
      </c>
      <c r="I77" s="15" t="n">
        <v>1</v>
      </c>
      <c r="J77" s="30"/>
      <c r="K77" s="14" t="n">
        <f aca="false">INDEX(Matriz!$C$7:$E$9,H77,I77)</f>
        <v>150</v>
      </c>
      <c r="L77" s="14" t="n">
        <f aca="false">IF(J77="",0,IF(J77&lt;Matriz!$B$14,Matriz!$C$13,IF(J77&lt;Matriz!$B$15,Matriz!$C$14,IF(J77&lt;Matriz!$B$16,Matriz!$C$15,Matriz!$C$16))))</f>
        <v>0</v>
      </c>
      <c r="M77" s="14" t="n">
        <f aca="false">IF(ISNUMBER(SEARCH("Seguridad",S77)),Matriz!$C$20,0)</f>
        <v>0</v>
      </c>
      <c r="N77" s="31" t="n">
        <f aca="false">K77+MIN(M77,Matriz!$C$24)</f>
        <v>150</v>
      </c>
      <c r="O77" s="33"/>
      <c r="P77" s="29" t="s">
        <v>515</v>
      </c>
      <c r="Q77" s="29" t="s">
        <v>516</v>
      </c>
      <c r="R77" s="27" t="s">
        <v>201</v>
      </c>
      <c r="S77" s="28" t="s">
        <v>371</v>
      </c>
      <c r="T77" s="1" t="s">
        <v>517</v>
      </c>
      <c r="U77" s="1" t="s">
        <v>204</v>
      </c>
    </row>
    <row r="78" customFormat="false" ht="15" hidden="false" customHeight="true" outlineLevel="0" collapsed="false">
      <c r="A78" s="14" t="n">
        <v>74</v>
      </c>
      <c r="B78" s="14" t="s">
        <v>518</v>
      </c>
      <c r="C78" s="14" t="s">
        <v>358</v>
      </c>
      <c r="D78" s="14" t="s">
        <v>519</v>
      </c>
      <c r="E78" s="14" t="s">
        <v>163</v>
      </c>
      <c r="F78" s="14" t="s">
        <v>502</v>
      </c>
      <c r="G78" s="29" t="s">
        <v>74</v>
      </c>
      <c r="H78" s="15" t="n">
        <v>3</v>
      </c>
      <c r="I78" s="15" t="n">
        <v>2</v>
      </c>
      <c r="J78" s="30"/>
      <c r="K78" s="14" t="n">
        <f aca="false">INDEX(Matriz!$C$7:$E$9,H78,I78)</f>
        <v>300</v>
      </c>
      <c r="L78" s="14" t="n">
        <f aca="false">IF(J78="",0,IF(J78&lt;Matriz!$B$14,Matriz!$C$13,IF(J78&lt;Matriz!$B$15,Matriz!$C$14,IF(J78&lt;Matriz!$B$16,Matriz!$C$15,Matriz!$C$16))))</f>
        <v>0</v>
      </c>
      <c r="M78" s="14" t="n">
        <f aca="false">IF(ISNUMBER(SEARCH("Seguridad",S78)),Matriz!$C$20,0)</f>
        <v>0</v>
      </c>
      <c r="N78" s="31" t="n">
        <f aca="false">K78+MIN(M78,Matriz!$C$24)</f>
        <v>300</v>
      </c>
      <c r="O78" s="33"/>
      <c r="P78" s="29" t="s">
        <v>520</v>
      </c>
      <c r="Q78" s="29" t="s">
        <v>521</v>
      </c>
      <c r="R78" s="27" t="s">
        <v>522</v>
      </c>
      <c r="S78" s="28" t="s">
        <v>489</v>
      </c>
      <c r="T78" s="1" t="s">
        <v>523</v>
      </c>
      <c r="U78" s="1" t="s">
        <v>524</v>
      </c>
    </row>
    <row r="79" customFormat="false" ht="15" hidden="false" customHeight="true" outlineLevel="0" collapsed="false">
      <c r="A79" s="14" t="n">
        <v>75</v>
      </c>
      <c r="B79" s="14" t="s">
        <v>518</v>
      </c>
      <c r="C79" s="14" t="s">
        <v>358</v>
      </c>
      <c r="D79" s="14" t="s">
        <v>525</v>
      </c>
      <c r="E79" s="14" t="s">
        <v>163</v>
      </c>
      <c r="F79" s="14" t="s">
        <v>502</v>
      </c>
      <c r="G79" s="29" t="s">
        <v>115</v>
      </c>
      <c r="H79" s="15" t="n">
        <v>2</v>
      </c>
      <c r="I79" s="15" t="n">
        <v>2</v>
      </c>
      <c r="J79" s="30"/>
      <c r="K79" s="14" t="n">
        <f aca="false">INDEX(Matriz!$C$7:$E$9,H79,I79)</f>
        <v>200</v>
      </c>
      <c r="L79" s="14" t="n">
        <f aca="false">IF(J79="",0,IF(J79&lt;Matriz!$B$14,Matriz!$C$13,IF(J79&lt;Matriz!$B$15,Matriz!$C$14,IF(J79&lt;Matriz!$B$16,Matriz!$C$15,Matriz!$C$16))))</f>
        <v>0</v>
      </c>
      <c r="M79" s="14" t="n">
        <f aca="false">IF(ISNUMBER(SEARCH("Seguridad",S79)),Matriz!$C$20,0)</f>
        <v>0</v>
      </c>
      <c r="N79" s="31" t="n">
        <f aca="false">K79+MIN(M79,Matriz!$C$24)</f>
        <v>200</v>
      </c>
      <c r="O79" s="33"/>
      <c r="P79" s="29" t="s">
        <v>526</v>
      </c>
      <c r="Q79" s="29" t="s">
        <v>527</v>
      </c>
      <c r="R79" s="27" t="s">
        <v>370</v>
      </c>
      <c r="S79" s="28" t="s">
        <v>528</v>
      </c>
      <c r="T79" s="1" t="s">
        <v>529</v>
      </c>
      <c r="U79" s="1" t="s">
        <v>530</v>
      </c>
    </row>
    <row r="80" customFormat="false" ht="15" hidden="false" customHeight="true" outlineLevel="0" collapsed="false">
      <c r="A80" s="14" t="n">
        <v>76</v>
      </c>
      <c r="B80" s="14" t="s">
        <v>531</v>
      </c>
      <c r="C80" s="14" t="s">
        <v>358</v>
      </c>
      <c r="D80" s="14" t="s">
        <v>532</v>
      </c>
      <c r="E80" s="14" t="s">
        <v>51</v>
      </c>
      <c r="F80" s="14" t="s">
        <v>106</v>
      </c>
      <c r="G80" s="29" t="s">
        <v>115</v>
      </c>
      <c r="H80" s="15" t="n">
        <v>2</v>
      </c>
      <c r="I80" s="15" t="n">
        <v>2</v>
      </c>
      <c r="J80" s="30"/>
      <c r="K80" s="14" t="n">
        <f aca="false">INDEX(Matriz!$C$7:$E$9,H80,I80)</f>
        <v>200</v>
      </c>
      <c r="L80" s="14" t="n">
        <f aca="false">IF(J80="",0,IF(J80&lt;Matriz!$B$14,Matriz!$C$13,IF(J80&lt;Matriz!$B$15,Matriz!$C$14,IF(J80&lt;Matriz!$B$16,Matriz!$C$15,Matriz!$C$16))))</f>
        <v>0</v>
      </c>
      <c r="M80" s="14" t="n">
        <f aca="false">IF(ISNUMBER(SEARCH("Seguridad",S80)),Matriz!$C$20,0)</f>
        <v>0</v>
      </c>
      <c r="N80" s="31" t="n">
        <f aca="false">K80+MIN(M80,Matriz!$C$24)</f>
        <v>200</v>
      </c>
      <c r="O80" s="33"/>
      <c r="P80" s="29" t="s">
        <v>533</v>
      </c>
      <c r="Q80" s="29" t="s">
        <v>534</v>
      </c>
      <c r="R80" s="27" t="s">
        <v>532</v>
      </c>
      <c r="S80" s="28" t="s">
        <v>187</v>
      </c>
      <c r="T80" s="1" t="s">
        <v>535</v>
      </c>
      <c r="U80" s="1" t="s">
        <v>536</v>
      </c>
    </row>
    <row r="81" customFormat="false" ht="15" hidden="false" customHeight="true" outlineLevel="0" collapsed="false">
      <c r="A81" s="14" t="n">
        <v>77</v>
      </c>
      <c r="B81" s="14" t="s">
        <v>537</v>
      </c>
      <c r="C81" s="14" t="s">
        <v>358</v>
      </c>
      <c r="D81" s="14" t="s">
        <v>538</v>
      </c>
      <c r="E81" s="14" t="s">
        <v>51</v>
      </c>
      <c r="F81" s="14" t="s">
        <v>257</v>
      </c>
      <c r="G81" s="29" t="s">
        <v>75</v>
      </c>
      <c r="H81" s="15" t="n">
        <v>1</v>
      </c>
      <c r="I81" s="15" t="n">
        <v>3</v>
      </c>
      <c r="J81" s="30"/>
      <c r="K81" s="14" t="n">
        <f aca="false">INDEX(Matriz!$C$7:$E$9,H81,I81)</f>
        <v>150</v>
      </c>
      <c r="L81" s="14" t="n">
        <f aca="false">IF(J81="",0,IF(J81&lt;Matriz!$B$14,Matriz!$C$13,IF(J81&lt;Matriz!$B$15,Matriz!$C$14,IF(J81&lt;Matriz!$B$16,Matriz!$C$15,Matriz!$C$16))))</f>
        <v>0</v>
      </c>
      <c r="M81" s="14" t="n">
        <f aca="false">IF(ISNUMBER(SEARCH("Seguridad",S81)),Matriz!$C$20,0)</f>
        <v>0</v>
      </c>
      <c r="N81" s="31" t="n">
        <f aca="false">K81+MIN(M81,Matriz!$C$24)</f>
        <v>150</v>
      </c>
      <c r="O81" s="32" t="s">
        <v>539</v>
      </c>
      <c r="P81" s="29" t="s">
        <v>540</v>
      </c>
      <c r="Q81" s="29" t="s">
        <v>541</v>
      </c>
      <c r="R81" s="27" t="s">
        <v>542</v>
      </c>
      <c r="S81" s="28" t="s">
        <v>75</v>
      </c>
      <c r="T81" s="1"/>
      <c r="U81" s="1" t="s">
        <v>543</v>
      </c>
    </row>
    <row r="82" customFormat="false" ht="15" hidden="false" customHeight="true" outlineLevel="0" collapsed="false">
      <c r="A82" s="14" t="n">
        <v>78</v>
      </c>
      <c r="B82" s="14" t="s">
        <v>103</v>
      </c>
      <c r="C82" s="14" t="s">
        <v>104</v>
      </c>
      <c r="D82" s="14" t="s">
        <v>544</v>
      </c>
      <c r="E82" s="14" t="s">
        <v>51</v>
      </c>
      <c r="F82" s="14" t="s">
        <v>173</v>
      </c>
      <c r="G82" s="29" t="s">
        <v>63</v>
      </c>
      <c r="H82" s="15" t="n">
        <v>3</v>
      </c>
      <c r="I82" s="15" t="n">
        <v>2</v>
      </c>
      <c r="J82" s="30"/>
      <c r="K82" s="14" t="n">
        <f aca="false">INDEX(Matriz!$C$7:$E$9,H82,I82)</f>
        <v>300</v>
      </c>
      <c r="L82" s="14" t="n">
        <f aca="false">IF(J82="",0,IF(J82&lt;Matriz!$B$14,Matriz!$C$13,IF(J82&lt;Matriz!$B$15,Matriz!$C$14,IF(J82&lt;Matriz!$B$16,Matriz!$C$15,Matriz!$C$16))))</f>
        <v>0</v>
      </c>
      <c r="M82" s="14" t="n">
        <f aca="false">IF(ISNUMBER(SEARCH("Seguridad",S82)),Matriz!$C$20,0)</f>
        <v>0</v>
      </c>
      <c r="N82" s="31" t="n">
        <f aca="false">K82+MIN(M82,Matriz!$C$24)</f>
        <v>300</v>
      </c>
      <c r="O82" s="33"/>
      <c r="P82" s="29" t="s">
        <v>545</v>
      </c>
      <c r="Q82" s="29" t="s">
        <v>546</v>
      </c>
      <c r="R82" s="27" t="s">
        <v>547</v>
      </c>
      <c r="S82" s="28" t="s">
        <v>68</v>
      </c>
      <c r="T82" s="1" t="s">
        <v>548</v>
      </c>
      <c r="U82" s="1" t="s">
        <v>549</v>
      </c>
    </row>
    <row r="83" customFormat="false" ht="15" hidden="false" customHeight="true" outlineLevel="0" collapsed="false">
      <c r="A83" s="14" t="n">
        <v>79</v>
      </c>
      <c r="B83" s="14" t="s">
        <v>550</v>
      </c>
      <c r="C83" s="14" t="s">
        <v>358</v>
      </c>
      <c r="D83" s="14" t="s">
        <v>551</v>
      </c>
      <c r="E83" s="14" t="s">
        <v>51</v>
      </c>
      <c r="F83" s="14" t="s">
        <v>248</v>
      </c>
      <c r="G83" s="29" t="s">
        <v>115</v>
      </c>
      <c r="H83" s="15" t="n">
        <v>2</v>
      </c>
      <c r="I83" s="15" t="n">
        <v>3</v>
      </c>
      <c r="J83" s="30"/>
      <c r="K83" s="14" t="n">
        <f aca="false">INDEX(Matriz!$C$7:$E$9,H83,I83)</f>
        <v>300</v>
      </c>
      <c r="L83" s="14" t="n">
        <f aca="false">IF(J83="",0,IF(J83&lt;Matriz!$B$14,Matriz!$C$13,IF(J83&lt;Matriz!$B$15,Matriz!$C$14,IF(J83&lt;Matriz!$B$16,Matriz!$C$15,Matriz!$C$16))))</f>
        <v>0</v>
      </c>
      <c r="M83" s="14" t="n">
        <f aca="false">IF(ISNUMBER(SEARCH("Seguridad",S83)),Matriz!$C$20,0)</f>
        <v>0</v>
      </c>
      <c r="N83" s="31" t="n">
        <f aca="false">K83+MIN(M83,Matriz!$C$24)</f>
        <v>300</v>
      </c>
      <c r="O83" s="33"/>
      <c r="P83" s="29" t="s">
        <v>552</v>
      </c>
      <c r="Q83" s="29" t="s">
        <v>553</v>
      </c>
      <c r="R83" s="27" t="s">
        <v>415</v>
      </c>
      <c r="S83" s="28" t="s">
        <v>144</v>
      </c>
      <c r="T83" s="1" t="s">
        <v>554</v>
      </c>
      <c r="U83" s="1" t="s">
        <v>555</v>
      </c>
    </row>
    <row r="84" customFormat="false" ht="15" hidden="false" customHeight="true" outlineLevel="0" collapsed="false">
      <c r="A84" s="14" t="n">
        <v>80</v>
      </c>
      <c r="B84" s="14" t="s">
        <v>556</v>
      </c>
      <c r="C84" s="14" t="s">
        <v>358</v>
      </c>
      <c r="D84" s="14" t="s">
        <v>213</v>
      </c>
      <c r="E84" s="14" t="s">
        <v>51</v>
      </c>
      <c r="F84" s="14" t="s">
        <v>74</v>
      </c>
      <c r="G84" s="29" t="s">
        <v>115</v>
      </c>
      <c r="H84" s="15" t="n">
        <v>3</v>
      </c>
      <c r="I84" s="15" t="n">
        <v>1</v>
      </c>
      <c r="J84" s="30"/>
      <c r="K84" s="14" t="n">
        <f aca="false">INDEX(Matriz!$C$7:$E$9,H84,I84)</f>
        <v>150</v>
      </c>
      <c r="L84" s="14" t="n">
        <f aca="false">IF(J84="",0,IF(J84&lt;Matriz!$B$14,Matriz!$C$13,IF(J84&lt;Matriz!$B$15,Matriz!$C$14,IF(J84&lt;Matriz!$B$16,Matriz!$C$15,Matriz!$C$16))))</f>
        <v>0</v>
      </c>
      <c r="M84" s="14" t="n">
        <f aca="false">IF(ISNUMBER(SEARCH("Seguridad",S84)),Matriz!$C$20,0)</f>
        <v>0</v>
      </c>
      <c r="N84" s="31" t="n">
        <f aca="false">K84+MIN(M84,Matriz!$C$24)</f>
        <v>150</v>
      </c>
      <c r="O84" s="33"/>
      <c r="P84" s="29" t="s">
        <v>557</v>
      </c>
      <c r="Q84" s="29" t="s">
        <v>558</v>
      </c>
      <c r="R84" s="27" t="s">
        <v>498</v>
      </c>
      <c r="S84" s="28" t="s">
        <v>559</v>
      </c>
      <c r="T84" s="1" t="s">
        <v>560</v>
      </c>
      <c r="U84" s="1" t="s">
        <v>220</v>
      </c>
    </row>
    <row r="85" customFormat="false" ht="15" hidden="false" customHeight="true" outlineLevel="0" collapsed="false">
      <c r="A85" s="14" t="n">
        <v>81</v>
      </c>
      <c r="B85" s="14" t="s">
        <v>561</v>
      </c>
      <c r="C85" s="14" t="s">
        <v>358</v>
      </c>
      <c r="D85" s="14" t="s">
        <v>383</v>
      </c>
      <c r="E85" s="14" t="s">
        <v>73</v>
      </c>
      <c r="F85" s="14" t="s">
        <v>132</v>
      </c>
      <c r="G85" s="29" t="s">
        <v>115</v>
      </c>
      <c r="H85" s="15" t="n">
        <v>2</v>
      </c>
      <c r="I85" s="15" t="n">
        <v>1</v>
      </c>
      <c r="J85" s="30"/>
      <c r="K85" s="14" t="n">
        <f aca="false">INDEX(Matriz!$C$7:$E$9,H85,I85)</f>
        <v>100</v>
      </c>
      <c r="L85" s="14" t="n">
        <f aca="false">IF(J85="",0,IF(J85&lt;Matriz!$B$14,Matriz!$C$13,IF(J85&lt;Matriz!$B$15,Matriz!$C$14,IF(J85&lt;Matriz!$B$16,Matriz!$C$15,Matriz!$C$16))))</f>
        <v>0</v>
      </c>
      <c r="M85" s="14" t="n">
        <f aca="false">IF(ISNUMBER(SEARCH("Seguridad",S85)),Matriz!$C$20,0)</f>
        <v>0</v>
      </c>
      <c r="N85" s="31" t="n">
        <f aca="false">K85+MIN(M85,Matriz!$C$24)</f>
        <v>100</v>
      </c>
      <c r="O85" s="33"/>
      <c r="P85" s="29" t="s">
        <v>562</v>
      </c>
      <c r="Q85" s="29" t="s">
        <v>563</v>
      </c>
      <c r="R85" s="27" t="s">
        <v>383</v>
      </c>
      <c r="S85" s="28" t="s">
        <v>564</v>
      </c>
      <c r="T85" s="1" t="s">
        <v>565</v>
      </c>
      <c r="U85" s="1" t="s">
        <v>389</v>
      </c>
    </row>
    <row r="86" customFormat="false" ht="15" hidden="false" customHeight="true" outlineLevel="0" collapsed="false">
      <c r="A86" s="14" t="n">
        <v>82</v>
      </c>
      <c r="B86" s="14" t="s">
        <v>537</v>
      </c>
      <c r="C86" s="14" t="s">
        <v>358</v>
      </c>
      <c r="D86" s="14" t="s">
        <v>566</v>
      </c>
      <c r="E86" s="14" t="s">
        <v>90</v>
      </c>
      <c r="F86" s="14" t="s">
        <v>140</v>
      </c>
      <c r="G86" s="29" t="s">
        <v>63</v>
      </c>
      <c r="H86" s="15" t="n">
        <v>3</v>
      </c>
      <c r="I86" s="15" t="n">
        <v>3</v>
      </c>
      <c r="J86" s="30"/>
      <c r="K86" s="14" t="n">
        <f aca="false">INDEX(Matriz!$C$7:$E$9,H86,I86)</f>
        <v>450</v>
      </c>
      <c r="L86" s="14" t="n">
        <f aca="false">IF(J86="",0,IF(J86&lt;Matriz!$B$14,Matriz!$C$13,IF(J86&lt;Matriz!$B$15,Matriz!$C$14,IF(J86&lt;Matriz!$B$16,Matriz!$C$15,Matriz!$C$16))))</f>
        <v>0</v>
      </c>
      <c r="M86" s="14" t="n">
        <f aca="false">IF(ISNUMBER(SEARCH("Seguridad",S86)),Matriz!$C$20,0)</f>
        <v>0</v>
      </c>
      <c r="N86" s="31" t="n">
        <f aca="false">K86+MIN(M86,Matriz!$C$24)</f>
        <v>450</v>
      </c>
      <c r="O86" s="33"/>
      <c r="P86" s="29" t="s">
        <v>567</v>
      </c>
      <c r="Q86" s="29" t="s">
        <v>568</v>
      </c>
      <c r="R86" s="27" t="s">
        <v>143</v>
      </c>
      <c r="S86" s="28" t="s">
        <v>569</v>
      </c>
      <c r="T86" s="1" t="s">
        <v>570</v>
      </c>
      <c r="U86" s="1" t="s">
        <v>571</v>
      </c>
    </row>
    <row r="87" customFormat="false" ht="15" hidden="false" customHeight="true" outlineLevel="0" collapsed="false">
      <c r="A87" s="14" t="n">
        <v>83</v>
      </c>
      <c r="B87" s="14" t="s">
        <v>572</v>
      </c>
      <c r="C87" s="14" t="s">
        <v>358</v>
      </c>
      <c r="D87" s="14" t="s">
        <v>98</v>
      </c>
      <c r="E87" s="14" t="s">
        <v>73</v>
      </c>
      <c r="F87" s="14" t="s">
        <v>99</v>
      </c>
      <c r="G87" s="29" t="s">
        <v>573</v>
      </c>
      <c r="H87" s="15" t="n">
        <v>1</v>
      </c>
      <c r="I87" s="15" t="n">
        <v>2</v>
      </c>
      <c r="J87" s="30"/>
      <c r="K87" s="14" t="n">
        <f aca="false">INDEX(Matriz!$C$7:$E$9,H87,I87)</f>
        <v>100</v>
      </c>
      <c r="L87" s="14" t="n">
        <f aca="false">IF(J87="",0,IF(J87&lt;Matriz!$B$14,Matriz!$C$13,IF(J87&lt;Matriz!$B$15,Matriz!$C$14,IF(J87&lt;Matriz!$B$16,Matriz!$C$15,Matriz!$C$16))))</f>
        <v>0</v>
      </c>
      <c r="M87" s="14" t="n">
        <f aca="false">IF(ISNUMBER(SEARCH("Seguridad",S87)),Matriz!$C$20,0)</f>
        <v>0</v>
      </c>
      <c r="N87" s="31" t="n">
        <f aca="false">K87+MIN(M87,Matriz!$C$24)</f>
        <v>100</v>
      </c>
      <c r="O87" s="32" t="s">
        <v>574</v>
      </c>
      <c r="P87" s="29" t="s">
        <v>575</v>
      </c>
      <c r="Q87" s="29" t="s">
        <v>576</v>
      </c>
      <c r="R87" s="27" t="s">
        <v>98</v>
      </c>
      <c r="S87" s="28" t="s">
        <v>577</v>
      </c>
      <c r="T87" s="1" t="s">
        <v>578</v>
      </c>
      <c r="U87" s="1" t="s">
        <v>102</v>
      </c>
    </row>
    <row r="88" customFormat="false" ht="15" hidden="false" customHeight="true" outlineLevel="0" collapsed="false">
      <c r="A88" s="14" t="n">
        <v>84</v>
      </c>
      <c r="B88" s="14" t="s">
        <v>572</v>
      </c>
      <c r="C88" s="14" t="s">
        <v>358</v>
      </c>
      <c r="D88" s="14" t="s">
        <v>155</v>
      </c>
      <c r="E88" s="14" t="s">
        <v>90</v>
      </c>
      <c r="F88" s="14" t="s">
        <v>106</v>
      </c>
      <c r="G88" s="29" t="s">
        <v>63</v>
      </c>
      <c r="H88" s="15" t="n">
        <v>3</v>
      </c>
      <c r="I88" s="15" t="n">
        <v>3</v>
      </c>
      <c r="J88" s="30" t="n">
        <v>644569</v>
      </c>
      <c r="K88" s="14" t="n">
        <f aca="false">INDEX(Matriz!$C$7:$E$9,H88,I88)</f>
        <v>450</v>
      </c>
      <c r="L88" s="14" t="n">
        <f aca="false">IF(J88="",0,IF(J88&lt;Matriz!$B$14,Matriz!$C$13,IF(J88&lt;Matriz!$B$15,Matriz!$C$14,IF(J88&lt;Matriz!$B$16,Matriz!$C$15,Matriz!$C$16))))</f>
        <v>1000</v>
      </c>
      <c r="M88" s="14" t="n">
        <f aca="false">IF(ISNUMBER(SEARCH("Seguridad",S88)),Matriz!$C$20,0)</f>
        <v>0</v>
      </c>
      <c r="N88" s="31" t="n">
        <f aca="false">K88+MIN(M88,Matriz!$C$24)</f>
        <v>450</v>
      </c>
      <c r="O88" s="33" t="s">
        <v>579</v>
      </c>
      <c r="P88" s="29" t="s">
        <v>580</v>
      </c>
      <c r="Q88" s="29" t="s">
        <v>581</v>
      </c>
      <c r="R88" s="27" t="s">
        <v>155</v>
      </c>
      <c r="S88" s="28" t="s">
        <v>68</v>
      </c>
      <c r="T88" s="1" t="s">
        <v>582</v>
      </c>
      <c r="U88" s="1" t="s">
        <v>160</v>
      </c>
    </row>
    <row r="89" customFormat="false" ht="15" hidden="false" customHeight="true" outlineLevel="0" collapsed="false">
      <c r="A89" s="14" t="n">
        <v>85</v>
      </c>
      <c r="B89" s="14" t="s">
        <v>561</v>
      </c>
      <c r="C89" s="14" t="s">
        <v>358</v>
      </c>
      <c r="D89" s="14" t="s">
        <v>334</v>
      </c>
      <c r="E89" s="14" t="s">
        <v>61</v>
      </c>
      <c r="F89" s="14" t="s">
        <v>257</v>
      </c>
      <c r="G89" s="29" t="s">
        <v>74</v>
      </c>
      <c r="H89" s="15" t="n">
        <v>3</v>
      </c>
      <c r="I89" s="15" t="n">
        <v>3</v>
      </c>
      <c r="J89" s="30"/>
      <c r="K89" s="14" t="n">
        <f aca="false">INDEX(Matriz!$C$7:$E$9,H89,I89)</f>
        <v>450</v>
      </c>
      <c r="L89" s="14" t="n">
        <f aca="false">IF(J89="",0,IF(J89&lt;Matriz!$B$14,Matriz!$C$13,IF(J89&lt;Matriz!$B$15,Matriz!$C$14,IF(J89&lt;Matriz!$B$16,Matriz!$C$15,Matriz!$C$16))))</f>
        <v>0</v>
      </c>
      <c r="M89" s="14" t="n">
        <f aca="false">IF(ISNUMBER(SEARCH("Seguridad",S89)),Matriz!$C$20,0)</f>
        <v>0</v>
      </c>
      <c r="N89" s="31" t="n">
        <f aca="false">K89+MIN(M89,Matriz!$C$24)</f>
        <v>450</v>
      </c>
      <c r="O89" s="33"/>
      <c r="P89" s="29" t="s">
        <v>583</v>
      </c>
      <c r="Q89" s="29" t="s">
        <v>584</v>
      </c>
      <c r="R89" s="27" t="s">
        <v>334</v>
      </c>
      <c r="S89" s="28" t="s">
        <v>585</v>
      </c>
      <c r="T89" s="1" t="s">
        <v>586</v>
      </c>
      <c r="U89" s="1" t="s">
        <v>339</v>
      </c>
    </row>
    <row r="90" customFormat="false" ht="15" hidden="false" customHeight="true" outlineLevel="0" collapsed="false">
      <c r="A90" s="14" t="n">
        <v>86</v>
      </c>
      <c r="B90" s="14" t="s">
        <v>587</v>
      </c>
      <c r="C90" s="14" t="s">
        <v>358</v>
      </c>
      <c r="D90" s="14" t="s">
        <v>588</v>
      </c>
      <c r="E90" s="14" t="s">
        <v>61</v>
      </c>
      <c r="F90" s="14" t="s">
        <v>74</v>
      </c>
      <c r="G90" s="29" t="s">
        <v>74</v>
      </c>
      <c r="H90" s="15" t="n">
        <v>3</v>
      </c>
      <c r="I90" s="15" t="n">
        <v>2</v>
      </c>
      <c r="J90" s="30"/>
      <c r="K90" s="14" t="n">
        <f aca="false">INDEX(Matriz!$C$7:$E$9,H90,I90)</f>
        <v>300</v>
      </c>
      <c r="L90" s="14" t="n">
        <f aca="false">IF(J90="",0,IF(J90&lt;Matriz!$B$14,Matriz!$C$13,IF(J90&lt;Matriz!$B$15,Matriz!$C$14,IF(J90&lt;Matriz!$B$16,Matriz!$C$15,Matriz!$C$16))))</f>
        <v>0</v>
      </c>
      <c r="M90" s="14" t="n">
        <f aca="false">IF(ISNUMBER(SEARCH("Seguridad",S90)),Matriz!$C$20,0)</f>
        <v>0</v>
      </c>
      <c r="N90" s="31" t="n">
        <f aca="false">K90+MIN(M90,Matriz!$C$24)</f>
        <v>300</v>
      </c>
      <c r="O90" s="33"/>
      <c r="P90" s="29" t="s">
        <v>589</v>
      </c>
      <c r="Q90" s="29" t="s">
        <v>590</v>
      </c>
      <c r="R90" s="27" t="s">
        <v>591</v>
      </c>
      <c r="S90" s="28" t="s">
        <v>592</v>
      </c>
      <c r="T90" s="1" t="s">
        <v>593</v>
      </c>
      <c r="U90" s="1" t="s">
        <v>594</v>
      </c>
    </row>
    <row r="91" customFormat="false" ht="15" hidden="false" customHeight="true" outlineLevel="0" collapsed="false">
      <c r="A91" s="14" t="n">
        <v>87</v>
      </c>
      <c r="B91" s="14" t="s">
        <v>357</v>
      </c>
      <c r="C91" s="14" t="s">
        <v>358</v>
      </c>
      <c r="D91" s="14" t="s">
        <v>595</v>
      </c>
      <c r="E91" s="14" t="s">
        <v>73</v>
      </c>
      <c r="F91" s="14" t="s">
        <v>74</v>
      </c>
      <c r="G91" s="29" t="s">
        <v>74</v>
      </c>
      <c r="H91" s="15" t="n">
        <v>3</v>
      </c>
      <c r="I91" s="15" t="n">
        <v>3</v>
      </c>
      <c r="J91" s="30"/>
      <c r="K91" s="14" t="n">
        <f aca="false">INDEX(Matriz!$C$7:$E$9,H91,I91)</f>
        <v>450</v>
      </c>
      <c r="L91" s="14" t="n">
        <f aca="false">IF(J91="",0,IF(J91&lt;Matriz!$B$14,Matriz!$C$13,IF(J91&lt;Matriz!$B$15,Matriz!$C$14,IF(J91&lt;Matriz!$B$16,Matriz!$C$15,Matriz!$C$16))))</f>
        <v>0</v>
      </c>
      <c r="M91" s="14" t="n">
        <f aca="false">IF(ISNUMBER(SEARCH("Seguridad",S91)),Matriz!$C$20,0)</f>
        <v>0</v>
      </c>
      <c r="N91" s="31" t="n">
        <f aca="false">K91+MIN(M91,Matriz!$C$24)</f>
        <v>450</v>
      </c>
      <c r="O91" s="33"/>
      <c r="P91" s="29" t="s">
        <v>596</v>
      </c>
      <c r="Q91" s="29" t="s">
        <v>597</v>
      </c>
      <c r="R91" s="27" t="s">
        <v>598</v>
      </c>
      <c r="S91" s="28" t="s">
        <v>371</v>
      </c>
      <c r="T91" s="1" t="s">
        <v>599</v>
      </c>
      <c r="U91" s="1" t="s">
        <v>600</v>
      </c>
    </row>
    <row r="92" customFormat="false" ht="15" hidden="false" customHeight="true" outlineLevel="0" collapsed="false">
      <c r="A92" s="14" t="n">
        <v>88</v>
      </c>
      <c r="B92" s="14" t="s">
        <v>601</v>
      </c>
      <c r="C92" s="14" t="s">
        <v>358</v>
      </c>
      <c r="D92" s="14" t="s">
        <v>82</v>
      </c>
      <c r="E92" s="14" t="s">
        <v>73</v>
      </c>
      <c r="F92" s="14" t="s">
        <v>83</v>
      </c>
      <c r="G92" s="29" t="s">
        <v>115</v>
      </c>
      <c r="H92" s="15" t="n">
        <v>3</v>
      </c>
      <c r="I92" s="15" t="n">
        <v>3</v>
      </c>
      <c r="J92" s="30" t="n">
        <v>288000</v>
      </c>
      <c r="K92" s="14" t="n">
        <f aca="false">INDEX(Matriz!$C$7:$E$9,H92,I92)</f>
        <v>450</v>
      </c>
      <c r="L92" s="14" t="n">
        <f aca="false">IF(J92="",0,IF(J92&lt;Matriz!$B$14,Matriz!$C$13,IF(J92&lt;Matriz!$B$15,Matriz!$C$14,IF(J92&lt;Matriz!$B$16,Matriz!$C$15,Matriz!$C$16))))</f>
        <v>1000</v>
      </c>
      <c r="M92" s="14" t="n">
        <f aca="false">IF(ISNUMBER(SEARCH("Seguridad",S92)),Matriz!$C$20,0)</f>
        <v>0</v>
      </c>
      <c r="N92" s="31" t="n">
        <f aca="false">K92+MIN(M92,Matriz!$C$24)</f>
        <v>450</v>
      </c>
      <c r="O92" s="33"/>
      <c r="P92" s="29" t="s">
        <v>602</v>
      </c>
      <c r="Q92" s="29" t="s">
        <v>331</v>
      </c>
      <c r="R92" s="27" t="s">
        <v>82</v>
      </c>
      <c r="S92" s="28" t="s">
        <v>603</v>
      </c>
      <c r="T92" s="1" t="s">
        <v>604</v>
      </c>
      <c r="U92" s="1" t="s">
        <v>87</v>
      </c>
    </row>
    <row r="93" customFormat="false" ht="15" hidden="false" customHeight="true" outlineLevel="0" collapsed="false">
      <c r="A93" s="14" t="n">
        <v>89</v>
      </c>
      <c r="B93" s="14" t="s">
        <v>572</v>
      </c>
      <c r="C93" s="14" t="s">
        <v>358</v>
      </c>
      <c r="D93" s="14" t="s">
        <v>172</v>
      </c>
      <c r="E93" s="14" t="s">
        <v>90</v>
      </c>
      <c r="F93" s="14" t="s">
        <v>173</v>
      </c>
      <c r="G93" s="29" t="s">
        <v>53</v>
      </c>
      <c r="H93" s="15" t="n">
        <v>3</v>
      </c>
      <c r="I93" s="15" t="n">
        <v>2</v>
      </c>
      <c r="J93" s="30"/>
      <c r="K93" s="14" t="n">
        <f aca="false">INDEX(Matriz!$C$7:$E$9,H93,I93)</f>
        <v>300</v>
      </c>
      <c r="L93" s="14" t="n">
        <f aca="false">IF(J93="",0,IF(J93&lt;Matriz!$B$14,Matriz!$C$13,IF(J93&lt;Matriz!$B$15,Matriz!$C$14,IF(J93&lt;Matriz!$B$16,Matriz!$C$15,Matriz!$C$16))))</f>
        <v>0</v>
      </c>
      <c r="M93" s="14" t="n">
        <f aca="false">IF(ISNUMBER(SEARCH("Seguridad",S93)),Matriz!$C$20,0)</f>
        <v>100</v>
      </c>
      <c r="N93" s="31" t="n">
        <f aca="false">K93+MIN(M93,Matriz!$C$24)</f>
        <v>400</v>
      </c>
      <c r="O93" s="33"/>
      <c r="P93" s="29" t="s">
        <v>605</v>
      </c>
      <c r="Q93" s="29" t="s">
        <v>606</v>
      </c>
      <c r="R93" s="27" t="s">
        <v>172</v>
      </c>
      <c r="S93" s="28" t="s">
        <v>607</v>
      </c>
      <c r="T93" s="1" t="s">
        <v>608</v>
      </c>
      <c r="U93" s="1" t="s">
        <v>177</v>
      </c>
    </row>
    <row r="94" customFormat="false" ht="15" hidden="false" customHeight="true" outlineLevel="0" collapsed="false">
      <c r="A94" s="14" t="n">
        <v>90</v>
      </c>
      <c r="B94" s="14" t="s">
        <v>572</v>
      </c>
      <c r="C94" s="14" t="s">
        <v>358</v>
      </c>
      <c r="D94" s="14" t="s">
        <v>172</v>
      </c>
      <c r="E94" s="14" t="s">
        <v>90</v>
      </c>
      <c r="F94" s="14" t="s">
        <v>173</v>
      </c>
      <c r="G94" s="29" t="s">
        <v>53</v>
      </c>
      <c r="H94" s="15" t="n">
        <v>3</v>
      </c>
      <c r="I94" s="15" t="n">
        <v>1</v>
      </c>
      <c r="J94" s="30"/>
      <c r="K94" s="14" t="n">
        <f aca="false">INDEX(Matriz!$C$7:$E$9,H94,I94)</f>
        <v>150</v>
      </c>
      <c r="L94" s="14" t="n">
        <f aca="false">IF(J94="",0,IF(J94&lt;Matriz!$B$14,Matriz!$C$13,IF(J94&lt;Matriz!$B$15,Matriz!$C$14,IF(J94&lt;Matriz!$B$16,Matriz!$C$15,Matriz!$C$16))))</f>
        <v>0</v>
      </c>
      <c r="M94" s="14" t="n">
        <f aca="false">IF(ISNUMBER(SEARCH("Seguridad",S94)),Matriz!$C$20,0)</f>
        <v>100</v>
      </c>
      <c r="N94" s="31" t="n">
        <f aca="false">K94+MIN(M94,Matriz!$C$24)</f>
        <v>250</v>
      </c>
      <c r="O94" s="33"/>
      <c r="P94" s="29" t="s">
        <v>609</v>
      </c>
      <c r="Q94" s="29" t="s">
        <v>610</v>
      </c>
      <c r="R94" s="27" t="s">
        <v>172</v>
      </c>
      <c r="S94" s="28" t="s">
        <v>611</v>
      </c>
      <c r="T94" s="1" t="s">
        <v>612</v>
      </c>
      <c r="U94" s="1" t="s">
        <v>177</v>
      </c>
    </row>
    <row r="95" customFormat="false" ht="15" hidden="false" customHeight="true" outlineLevel="0" collapsed="false">
      <c r="A95" s="14" t="n">
        <v>91</v>
      </c>
      <c r="B95" s="14" t="s">
        <v>518</v>
      </c>
      <c r="C95" s="14" t="s">
        <v>358</v>
      </c>
      <c r="D95" s="14" t="s">
        <v>613</v>
      </c>
      <c r="E95" s="14" t="s">
        <v>73</v>
      </c>
      <c r="F95" s="14" t="s">
        <v>173</v>
      </c>
      <c r="G95" s="29" t="s">
        <v>74</v>
      </c>
      <c r="H95" s="15" t="n">
        <v>3</v>
      </c>
      <c r="I95" s="15" t="n">
        <v>1</v>
      </c>
      <c r="J95" s="30"/>
      <c r="K95" s="14" t="n">
        <f aca="false">INDEX(Matriz!$C$7:$E$9,H95,I95)</f>
        <v>150</v>
      </c>
      <c r="L95" s="14" t="n">
        <f aca="false">IF(J95="",0,IF(J95&lt;Matriz!$B$14,Matriz!$C$13,IF(J95&lt;Matriz!$B$15,Matriz!$C$14,IF(J95&lt;Matriz!$B$16,Matriz!$C$15,Matriz!$C$16))))</f>
        <v>0</v>
      </c>
      <c r="M95" s="14" t="n">
        <f aca="false">IF(ISNUMBER(SEARCH("Seguridad",S95)),Matriz!$C$20,0)</f>
        <v>0</v>
      </c>
      <c r="N95" s="31" t="n">
        <f aca="false">K95+MIN(M95,Matriz!$C$24)</f>
        <v>150</v>
      </c>
      <c r="O95" s="33"/>
      <c r="P95" s="29" t="s">
        <v>614</v>
      </c>
      <c r="Q95" s="29" t="s">
        <v>615</v>
      </c>
      <c r="R95" s="27" t="s">
        <v>409</v>
      </c>
      <c r="S95" s="28" t="s">
        <v>371</v>
      </c>
      <c r="T95" s="1" t="s">
        <v>616</v>
      </c>
      <c r="U95" s="1" t="s">
        <v>617</v>
      </c>
    </row>
    <row r="96" customFormat="false" ht="15" hidden="false" customHeight="true" outlineLevel="0" collapsed="false">
      <c r="A96" s="14" t="n">
        <v>92</v>
      </c>
      <c r="B96" s="14" t="s">
        <v>618</v>
      </c>
      <c r="C96" s="14" t="s">
        <v>358</v>
      </c>
      <c r="D96" s="14" t="s">
        <v>435</v>
      </c>
      <c r="E96" s="14" t="s">
        <v>90</v>
      </c>
      <c r="F96" s="14" t="s">
        <v>248</v>
      </c>
      <c r="G96" s="29" t="s">
        <v>573</v>
      </c>
      <c r="H96" s="15" t="n">
        <v>1</v>
      </c>
      <c r="I96" s="15" t="n">
        <v>2</v>
      </c>
      <c r="J96" s="30"/>
      <c r="K96" s="14" t="n">
        <f aca="false">INDEX(Matriz!$C$7:$E$9,H96,I96)</f>
        <v>100</v>
      </c>
      <c r="L96" s="14" t="n">
        <f aca="false">IF(J96="",0,IF(J96&lt;Matriz!$B$14,Matriz!$C$13,IF(J96&lt;Matriz!$B$15,Matriz!$C$14,IF(J96&lt;Matriz!$B$16,Matriz!$C$15,Matriz!$C$16))))</f>
        <v>0</v>
      </c>
      <c r="M96" s="14" t="n">
        <f aca="false">IF(ISNUMBER(SEARCH("Seguridad",S96)),Matriz!$C$20,0)</f>
        <v>0</v>
      </c>
      <c r="N96" s="31" t="n">
        <f aca="false">K96+MIN(M96,Matriz!$C$24)</f>
        <v>100</v>
      </c>
      <c r="O96" s="33"/>
      <c r="P96" s="29" t="s">
        <v>619</v>
      </c>
      <c r="Q96" s="29" t="s">
        <v>620</v>
      </c>
      <c r="R96" s="27" t="s">
        <v>438</v>
      </c>
      <c r="S96" s="28" t="s">
        <v>577</v>
      </c>
      <c r="T96" s="1" t="s">
        <v>621</v>
      </c>
      <c r="U96" s="1" t="s">
        <v>441</v>
      </c>
    </row>
    <row r="97" customFormat="false" ht="15" hidden="false" customHeight="true" outlineLevel="0" collapsed="false">
      <c r="A97" s="14" t="n">
        <v>93</v>
      </c>
      <c r="B97" s="14" t="s">
        <v>618</v>
      </c>
      <c r="C97" s="14" t="s">
        <v>358</v>
      </c>
      <c r="D97" s="14" t="s">
        <v>435</v>
      </c>
      <c r="E97" s="14" t="s">
        <v>90</v>
      </c>
      <c r="F97" s="14" t="s">
        <v>248</v>
      </c>
      <c r="G97" s="29" t="s">
        <v>53</v>
      </c>
      <c r="H97" s="15" t="n">
        <v>3</v>
      </c>
      <c r="I97" s="15" t="n">
        <v>2</v>
      </c>
      <c r="J97" s="30"/>
      <c r="K97" s="14" t="n">
        <f aca="false">INDEX(Matriz!$C$7:$E$9,H97,I97)</f>
        <v>300</v>
      </c>
      <c r="L97" s="14" t="n">
        <f aca="false">IF(J97="",0,IF(J97&lt;Matriz!$B$14,Matriz!$C$13,IF(J97&lt;Matriz!$B$15,Matriz!$C$14,IF(J97&lt;Matriz!$B$16,Matriz!$C$15,Matriz!$C$16))))</f>
        <v>0</v>
      </c>
      <c r="M97" s="14" t="n">
        <f aca="false">IF(ISNUMBER(SEARCH("Seguridad",S97)),Matriz!$C$20,0)</f>
        <v>100</v>
      </c>
      <c r="N97" s="31" t="n">
        <f aca="false">K97+MIN(M97,Matriz!$C$24)</f>
        <v>400</v>
      </c>
      <c r="O97" s="33"/>
      <c r="P97" s="29" t="s">
        <v>622</v>
      </c>
      <c r="Q97" s="29" t="s">
        <v>623</v>
      </c>
      <c r="R97" s="27" t="s">
        <v>438</v>
      </c>
      <c r="S97" s="28" t="s">
        <v>53</v>
      </c>
      <c r="T97" s="1" t="s">
        <v>624</v>
      </c>
      <c r="U97" s="1" t="s">
        <v>441</v>
      </c>
    </row>
    <row r="98" customFormat="false" ht="15" hidden="false" customHeight="true" outlineLevel="0" collapsed="false">
      <c r="A98" s="14" t="n">
        <v>94</v>
      </c>
      <c r="B98" s="14" t="s">
        <v>625</v>
      </c>
      <c r="C98" s="14" t="s">
        <v>626</v>
      </c>
      <c r="D98" s="14" t="s">
        <v>627</v>
      </c>
      <c r="E98" s="14" t="s">
        <v>51</v>
      </c>
      <c r="F98" s="14" t="s">
        <v>99</v>
      </c>
      <c r="G98" s="29" t="s">
        <v>63</v>
      </c>
      <c r="H98" s="15" t="n">
        <v>3</v>
      </c>
      <c r="I98" s="15" t="n">
        <v>3</v>
      </c>
      <c r="J98" s="30" t="n">
        <v>208420</v>
      </c>
      <c r="K98" s="14" t="n">
        <f aca="false">INDEX(Matriz!$C$7:$E$9,H98,I98)</f>
        <v>450</v>
      </c>
      <c r="L98" s="14" t="n">
        <f aca="false">IF(J98="",0,IF(J98&lt;Matriz!$B$14,Matriz!$C$13,IF(J98&lt;Matriz!$B$15,Matriz!$C$14,IF(J98&lt;Matriz!$B$16,Matriz!$C$15,Matriz!$C$16))))</f>
        <v>1000</v>
      </c>
      <c r="M98" s="14" t="n">
        <f aca="false">IF(ISNUMBER(SEARCH("Seguridad",S98)),Matriz!$C$20,0)</f>
        <v>0</v>
      </c>
      <c r="N98" s="31" t="n">
        <f aca="false">K98+MIN(M98,Matriz!$C$24)</f>
        <v>450</v>
      </c>
      <c r="O98" s="33" t="s">
        <v>628</v>
      </c>
      <c r="P98" s="29" t="s">
        <v>629</v>
      </c>
      <c r="Q98" s="29" t="s">
        <v>630</v>
      </c>
      <c r="R98" s="27" t="s">
        <v>231</v>
      </c>
      <c r="S98" s="28" t="s">
        <v>68</v>
      </c>
      <c r="T98" s="1" t="s">
        <v>631</v>
      </c>
      <c r="U98" s="1" t="s">
        <v>632</v>
      </c>
    </row>
    <row r="99" customFormat="false" ht="15" hidden="false" customHeight="true" outlineLevel="0" collapsed="false">
      <c r="A99" s="14" t="n">
        <v>95</v>
      </c>
      <c r="B99" s="14" t="s">
        <v>633</v>
      </c>
      <c r="C99" s="14" t="s">
        <v>358</v>
      </c>
      <c r="D99" s="14" t="s">
        <v>634</v>
      </c>
      <c r="E99" s="14" t="s">
        <v>163</v>
      </c>
      <c r="F99" s="14" t="s">
        <v>74</v>
      </c>
      <c r="G99" s="29" t="s">
        <v>115</v>
      </c>
      <c r="H99" s="15" t="n">
        <v>2</v>
      </c>
      <c r="I99" s="15" t="n">
        <v>2</v>
      </c>
      <c r="J99" s="30"/>
      <c r="K99" s="14" t="n">
        <f aca="false">INDEX(Matriz!$C$7:$E$9,H99,I99)</f>
        <v>200</v>
      </c>
      <c r="L99" s="14" t="n">
        <f aca="false">IF(J99="",0,IF(J99&lt;Matriz!$B$14,Matriz!$C$13,IF(J99&lt;Matriz!$B$15,Matriz!$C$14,IF(J99&lt;Matriz!$B$16,Matriz!$C$15,Matriz!$C$16))))</f>
        <v>0</v>
      </c>
      <c r="M99" s="14" t="n">
        <f aca="false">IF(ISNUMBER(SEARCH("Seguridad",S99)),Matriz!$C$20,0)</f>
        <v>0</v>
      </c>
      <c r="N99" s="31" t="n">
        <f aca="false">K99+MIN(M99,Matriz!$C$24)</f>
        <v>200</v>
      </c>
      <c r="O99" s="33"/>
      <c r="P99" s="29" t="s">
        <v>635</v>
      </c>
      <c r="Q99" s="29" t="s">
        <v>636</v>
      </c>
      <c r="R99" s="27" t="s">
        <v>167</v>
      </c>
      <c r="S99" s="28" t="s">
        <v>637</v>
      </c>
      <c r="T99" s="1" t="s">
        <v>638</v>
      </c>
      <c r="U99" s="1" t="s">
        <v>639</v>
      </c>
    </row>
    <row r="100" customFormat="false" ht="15" hidden="false" customHeight="true" outlineLevel="0" collapsed="false">
      <c r="A100" s="14" t="n">
        <v>96</v>
      </c>
      <c r="B100" s="14" t="s">
        <v>587</v>
      </c>
      <c r="C100" s="14" t="s">
        <v>358</v>
      </c>
      <c r="D100" s="14" t="s">
        <v>640</v>
      </c>
      <c r="E100" s="14" t="s">
        <v>90</v>
      </c>
      <c r="F100" s="14" t="s">
        <v>106</v>
      </c>
      <c r="G100" s="29" t="s">
        <v>115</v>
      </c>
      <c r="H100" s="15" t="n">
        <v>3</v>
      </c>
      <c r="I100" s="15" t="n">
        <v>3</v>
      </c>
      <c r="J100" s="30"/>
      <c r="K100" s="14" t="n">
        <f aca="false">INDEX(Matriz!$C$7:$E$9,H100,I100)</f>
        <v>450</v>
      </c>
      <c r="L100" s="14" t="n">
        <f aca="false">IF(J100="",0,IF(J100&lt;Matriz!$B$14,Matriz!$C$13,IF(J100&lt;Matriz!$B$15,Matriz!$C$14,IF(J100&lt;Matriz!$B$16,Matriz!$C$15,Matriz!$C$16))))</f>
        <v>0</v>
      </c>
      <c r="M100" s="14" t="n">
        <f aca="false">IF(ISNUMBER(SEARCH("Seguridad",S100)),Matriz!$C$20,0)</f>
        <v>0</v>
      </c>
      <c r="N100" s="31" t="n">
        <f aca="false">K100+MIN(M100,Matriz!$C$24)</f>
        <v>450</v>
      </c>
      <c r="O100" s="33"/>
      <c r="P100" s="29" t="s">
        <v>641</v>
      </c>
      <c r="Q100" s="29" t="s">
        <v>642</v>
      </c>
      <c r="R100" s="27" t="s">
        <v>640</v>
      </c>
      <c r="S100" s="28" t="s">
        <v>603</v>
      </c>
      <c r="T100" s="1" t="s">
        <v>643</v>
      </c>
      <c r="U100" s="1" t="s">
        <v>644</v>
      </c>
    </row>
    <row r="101" customFormat="false" ht="15" hidden="false" customHeight="true" outlineLevel="0" collapsed="false">
      <c r="A101" s="14" t="n">
        <v>97</v>
      </c>
      <c r="B101" s="14" t="s">
        <v>537</v>
      </c>
      <c r="C101" s="14" t="s">
        <v>358</v>
      </c>
      <c r="D101" s="14" t="s">
        <v>213</v>
      </c>
      <c r="E101" s="14" t="s">
        <v>51</v>
      </c>
      <c r="F101" s="14" t="s">
        <v>74</v>
      </c>
      <c r="G101" s="29" t="s">
        <v>63</v>
      </c>
      <c r="H101" s="15" t="n">
        <v>3</v>
      </c>
      <c r="I101" s="15" t="n">
        <v>1</v>
      </c>
      <c r="J101" s="30"/>
      <c r="K101" s="14" t="n">
        <f aca="false">INDEX(Matriz!$C$7:$E$9,H101,I101)</f>
        <v>150</v>
      </c>
      <c r="L101" s="14" t="n">
        <f aca="false">IF(J101="",0,IF(J101&lt;Matriz!$B$14,Matriz!$C$13,IF(J101&lt;Matriz!$B$15,Matriz!$C$14,IF(J101&lt;Matriz!$B$16,Matriz!$C$15,Matriz!$C$16))))</f>
        <v>0</v>
      </c>
      <c r="M101" s="14" t="n">
        <f aca="false">IF(ISNUMBER(SEARCH("Seguridad",S101)),Matriz!$C$20,0)</f>
        <v>0</v>
      </c>
      <c r="N101" s="31" t="n">
        <f aca="false">K101+MIN(M101,Matriz!$C$24)</f>
        <v>150</v>
      </c>
      <c r="O101" s="33"/>
      <c r="P101" s="29" t="s">
        <v>645</v>
      </c>
      <c r="Q101" s="29" t="s">
        <v>646</v>
      </c>
      <c r="R101" s="27" t="s">
        <v>647</v>
      </c>
      <c r="S101" s="28" t="s">
        <v>68</v>
      </c>
      <c r="T101" s="1" t="s">
        <v>648</v>
      </c>
      <c r="U101" s="1" t="s">
        <v>220</v>
      </c>
    </row>
    <row r="102" customFormat="false" ht="15" hidden="false" customHeight="true" outlineLevel="0" collapsed="false">
      <c r="A102" s="14" t="n">
        <v>98</v>
      </c>
      <c r="B102" s="14" t="s">
        <v>649</v>
      </c>
      <c r="C102" s="14" t="s">
        <v>626</v>
      </c>
      <c r="D102" s="14" t="s">
        <v>383</v>
      </c>
      <c r="E102" s="14" t="s">
        <v>73</v>
      </c>
      <c r="F102" s="14" t="s">
        <v>132</v>
      </c>
      <c r="G102" s="29" t="s">
        <v>115</v>
      </c>
      <c r="H102" s="15" t="n">
        <v>2</v>
      </c>
      <c r="I102" s="15" t="n">
        <v>1</v>
      </c>
      <c r="J102" s="30"/>
      <c r="K102" s="14" t="n">
        <f aca="false">INDEX(Matriz!$C$7:$E$9,H102,I102)</f>
        <v>100</v>
      </c>
      <c r="L102" s="14" t="n">
        <f aca="false">IF(J102="",0,IF(J102&lt;Matriz!$B$14,Matriz!$C$13,IF(J102&lt;Matriz!$B$15,Matriz!$C$14,IF(J102&lt;Matriz!$B$16,Matriz!$C$15,Matriz!$C$16))))</f>
        <v>0</v>
      </c>
      <c r="M102" s="14" t="n">
        <f aca="false">IF(ISNUMBER(SEARCH("Seguridad",S102)),Matriz!$C$20,0)</f>
        <v>0</v>
      </c>
      <c r="N102" s="31" t="n">
        <f aca="false">K102+MIN(M102,Matriz!$C$24)</f>
        <v>100</v>
      </c>
      <c r="O102" s="33"/>
      <c r="P102" s="29" t="s">
        <v>650</v>
      </c>
      <c r="Q102" s="29" t="s">
        <v>651</v>
      </c>
      <c r="R102" s="27" t="s">
        <v>386</v>
      </c>
      <c r="S102" s="28" t="s">
        <v>652</v>
      </c>
      <c r="T102" s="1" t="s">
        <v>653</v>
      </c>
      <c r="U102" s="1" t="s">
        <v>389</v>
      </c>
    </row>
    <row r="103" customFormat="false" ht="15" hidden="false" customHeight="true" outlineLevel="0" collapsed="false">
      <c r="A103" s="14" t="n">
        <v>99</v>
      </c>
      <c r="B103" s="14" t="s">
        <v>625</v>
      </c>
      <c r="C103" s="14" t="s">
        <v>626</v>
      </c>
      <c r="D103" s="14" t="s">
        <v>383</v>
      </c>
      <c r="E103" s="14" t="s">
        <v>73</v>
      </c>
      <c r="F103" s="14" t="s">
        <v>132</v>
      </c>
      <c r="G103" s="29" t="s">
        <v>53</v>
      </c>
      <c r="H103" s="15" t="n">
        <v>3</v>
      </c>
      <c r="I103" s="15" t="n">
        <v>1</v>
      </c>
      <c r="J103" s="30"/>
      <c r="K103" s="14" t="n">
        <f aca="false">INDEX(Matriz!$C$7:$E$9,H103,I103)</f>
        <v>150</v>
      </c>
      <c r="L103" s="14" t="n">
        <f aca="false">IF(J103="",0,IF(J103&lt;Matriz!$B$14,Matriz!$C$13,IF(J103&lt;Matriz!$B$15,Matriz!$C$14,IF(J103&lt;Matriz!$B$16,Matriz!$C$15,Matriz!$C$16))))</f>
        <v>0</v>
      </c>
      <c r="M103" s="14" t="n">
        <f aca="false">IF(ISNUMBER(SEARCH("Seguridad",S103)),Matriz!$C$20,0)</f>
        <v>100</v>
      </c>
      <c r="N103" s="31" t="n">
        <f aca="false">K103+MIN(M103,Matriz!$C$24)</f>
        <v>250</v>
      </c>
      <c r="O103" s="33"/>
      <c r="P103" s="29" t="s">
        <v>654</v>
      </c>
      <c r="Q103" s="29" t="s">
        <v>655</v>
      </c>
      <c r="R103" s="27" t="s">
        <v>386</v>
      </c>
      <c r="S103" s="28" t="s">
        <v>53</v>
      </c>
      <c r="T103" s="1" t="s">
        <v>656</v>
      </c>
      <c r="U103" s="1" t="s">
        <v>389</v>
      </c>
    </row>
    <row r="104" customFormat="false" ht="14.25" hidden="false" customHeight="true" outlineLevel="0" collapsed="false">
      <c r="A104" s="14" t="n">
        <v>100</v>
      </c>
      <c r="B104" s="14" t="s">
        <v>657</v>
      </c>
      <c r="C104" s="14" t="s">
        <v>626</v>
      </c>
      <c r="D104" s="14" t="s">
        <v>658</v>
      </c>
      <c r="E104" s="14" t="s">
        <v>90</v>
      </c>
      <c r="F104" s="14" t="s">
        <v>248</v>
      </c>
      <c r="G104" s="29" t="s">
        <v>53</v>
      </c>
      <c r="H104" s="15" t="n">
        <v>3</v>
      </c>
      <c r="I104" s="15" t="n">
        <v>1</v>
      </c>
      <c r="J104" s="30"/>
      <c r="K104" s="14" t="n">
        <f aca="false">INDEX(Matriz!$C$7:$E$9,H104,I104)</f>
        <v>150</v>
      </c>
      <c r="L104" s="14" t="n">
        <f aca="false">IF(J104="",0,IF(J104&lt;Matriz!$B$14,Matriz!$C$13,IF(J104&lt;Matriz!$B$15,Matriz!$C$14,IF(J104&lt;Matriz!$B$16,Matriz!$C$15,Matriz!$C$16))))</f>
        <v>0</v>
      </c>
      <c r="M104" s="14" t="n">
        <f aca="false">IF(ISNUMBER(SEARCH("Seguridad",S104)),Matriz!$C$20,0)</f>
        <v>100</v>
      </c>
      <c r="N104" s="31" t="n">
        <f aca="false">K104+MIN(M104,Matriz!$C$24)</f>
        <v>250</v>
      </c>
      <c r="O104" s="33" t="s">
        <v>659</v>
      </c>
      <c r="P104" s="29" t="s">
        <v>660</v>
      </c>
      <c r="Q104" s="29" t="s">
        <v>660</v>
      </c>
      <c r="R104" s="27" t="s">
        <v>438</v>
      </c>
      <c r="S104" s="28" t="s">
        <v>53</v>
      </c>
      <c r="T104" s="1" t="s">
        <v>661</v>
      </c>
      <c r="U104" s="1"/>
    </row>
    <row r="105" customFormat="false" ht="15" hidden="false" customHeight="true" outlineLevel="0" collapsed="false">
      <c r="A105" s="14" t="n">
        <v>101</v>
      </c>
      <c r="B105" s="14" t="s">
        <v>657</v>
      </c>
      <c r="C105" s="14" t="s">
        <v>626</v>
      </c>
      <c r="D105" s="14" t="s">
        <v>435</v>
      </c>
      <c r="E105" s="14" t="s">
        <v>90</v>
      </c>
      <c r="F105" s="14" t="s">
        <v>248</v>
      </c>
      <c r="G105" s="29" t="s">
        <v>74</v>
      </c>
      <c r="H105" s="15" t="n">
        <v>3</v>
      </c>
      <c r="I105" s="15" t="n">
        <v>1</v>
      </c>
      <c r="J105" s="30"/>
      <c r="K105" s="14" t="n">
        <f aca="false">INDEX(Matriz!$C$7:$E$9,H105,I105)</f>
        <v>150</v>
      </c>
      <c r="L105" s="14" t="n">
        <f aca="false">IF(J105="",0,IF(J105&lt;Matriz!$B$14,Matriz!$C$13,IF(J105&lt;Matriz!$B$15,Matriz!$C$14,IF(J105&lt;Matriz!$B$16,Matriz!$C$15,Matriz!$C$16))))</f>
        <v>0</v>
      </c>
      <c r="M105" s="14" t="n">
        <f aca="false">IF(ISNUMBER(SEARCH("Seguridad",S105)),Matriz!$C$20,0)</f>
        <v>0</v>
      </c>
      <c r="N105" s="31" t="n">
        <f aca="false">K105+MIN(M105,Matriz!$C$24)</f>
        <v>150</v>
      </c>
      <c r="O105" s="33" t="s">
        <v>662</v>
      </c>
      <c r="P105" s="29" t="s">
        <v>663</v>
      </c>
      <c r="Q105" s="29" t="s">
        <v>663</v>
      </c>
      <c r="R105" s="27" t="s">
        <v>438</v>
      </c>
      <c r="S105" s="28" t="s">
        <v>151</v>
      </c>
      <c r="T105" s="1" t="s">
        <v>664</v>
      </c>
      <c r="U105" s="1"/>
    </row>
    <row r="106" customFormat="false" ht="15" hidden="false" customHeight="true" outlineLevel="0" collapsed="false">
      <c r="A106" s="14" t="n">
        <v>102</v>
      </c>
      <c r="B106" s="14" t="s">
        <v>665</v>
      </c>
      <c r="C106" s="14" t="s">
        <v>626</v>
      </c>
      <c r="D106" s="14" t="s">
        <v>666</v>
      </c>
      <c r="E106" s="14" t="s">
        <v>163</v>
      </c>
      <c r="F106" s="14" t="s">
        <v>132</v>
      </c>
      <c r="G106" s="29" t="s">
        <v>115</v>
      </c>
      <c r="H106" s="15" t="n">
        <v>2</v>
      </c>
      <c r="I106" s="15" t="n">
        <v>1</v>
      </c>
      <c r="J106" s="30"/>
      <c r="K106" s="14" t="n">
        <f aca="false">INDEX(Matriz!$C$7:$E$9,H106,I106)</f>
        <v>100</v>
      </c>
      <c r="L106" s="14" t="n">
        <f aca="false">IF(J106="",0,IF(J106&lt;Matriz!$B$14,Matriz!$C$13,IF(J106&lt;Matriz!$B$15,Matriz!$C$14,IF(J106&lt;Matriz!$B$16,Matriz!$C$15,Matriz!$C$16))))</f>
        <v>0</v>
      </c>
      <c r="M106" s="14" t="n">
        <f aca="false">IF(ISNUMBER(SEARCH("Seguridad",S106)),Matriz!$C$20,0)</f>
        <v>0</v>
      </c>
      <c r="N106" s="31" t="n">
        <f aca="false">K106+MIN(M106,Matriz!$C$24)</f>
        <v>100</v>
      </c>
      <c r="O106" s="33" t="s">
        <v>667</v>
      </c>
      <c r="P106" s="29" t="s">
        <v>668</v>
      </c>
      <c r="Q106" s="29" t="s">
        <v>668</v>
      </c>
      <c r="R106" s="27" t="s">
        <v>522</v>
      </c>
      <c r="S106" s="28" t="s">
        <v>187</v>
      </c>
      <c r="T106" s="1" t="s">
        <v>669</v>
      </c>
      <c r="U106" s="1"/>
    </row>
    <row r="107" customFormat="false" ht="15" hidden="false" customHeight="true" outlineLevel="0" collapsed="false">
      <c r="A107" s="14" t="n">
        <v>103</v>
      </c>
      <c r="B107" s="14" t="s">
        <v>670</v>
      </c>
      <c r="C107" s="14" t="s">
        <v>671</v>
      </c>
      <c r="D107" s="14" t="s">
        <v>341</v>
      </c>
      <c r="E107" s="14" t="s">
        <v>73</v>
      </c>
      <c r="F107" s="14" t="s">
        <v>106</v>
      </c>
      <c r="G107" s="29" t="s">
        <v>53</v>
      </c>
      <c r="H107" s="15" t="n">
        <v>3</v>
      </c>
      <c r="I107" s="15" t="n">
        <v>1</v>
      </c>
      <c r="J107" s="30"/>
      <c r="K107" s="14" t="n">
        <f aca="false">INDEX(Matriz!$C$7:$E$9,H107,I107)</f>
        <v>150</v>
      </c>
      <c r="L107" s="14" t="n">
        <f aca="false">IF(J107="",0,IF(J107&lt;Matriz!$B$14,Matriz!$C$13,IF(J107&lt;Matriz!$B$15,Matriz!$C$14,IF(J107&lt;Matriz!$B$16,Matriz!$C$15,Matriz!$C$16))))</f>
        <v>0</v>
      </c>
      <c r="M107" s="14" t="n">
        <f aca="false">IF(ISNUMBER(SEARCH("Seguridad",S107)),Matriz!$C$20,0)</f>
        <v>100</v>
      </c>
      <c r="N107" s="31" t="n">
        <f aca="false">K107+MIN(M107,Matriz!$C$24)</f>
        <v>250</v>
      </c>
      <c r="O107" s="33" t="s">
        <v>672</v>
      </c>
      <c r="P107" s="29" t="s">
        <v>673</v>
      </c>
      <c r="Q107" s="29" t="s">
        <v>673</v>
      </c>
      <c r="R107" s="27" t="s">
        <v>344</v>
      </c>
      <c r="S107" s="28" t="s">
        <v>53</v>
      </c>
      <c r="T107" s="1" t="s">
        <v>674</v>
      </c>
      <c r="U107" s="1"/>
    </row>
    <row r="108" customFormat="false" ht="14.25" hidden="false" customHeight="true" outlineLevel="0" collapsed="false">
      <c r="A108" s="14" t="n">
        <v>104</v>
      </c>
      <c r="B108" s="14" t="s">
        <v>675</v>
      </c>
      <c r="C108" s="14" t="s">
        <v>626</v>
      </c>
      <c r="D108" s="14" t="s">
        <v>676</v>
      </c>
      <c r="E108" s="14" t="s">
        <v>90</v>
      </c>
      <c r="F108" s="14" t="s">
        <v>74</v>
      </c>
      <c r="G108" s="29" t="s">
        <v>74</v>
      </c>
      <c r="H108" s="15" t="n">
        <v>3</v>
      </c>
      <c r="I108" s="15" t="n">
        <v>1</v>
      </c>
      <c r="J108" s="30"/>
      <c r="K108" s="14" t="n">
        <f aca="false">INDEX(Matriz!$C$7:$E$9,H108,I108)</f>
        <v>150</v>
      </c>
      <c r="L108" s="14" t="n">
        <f aca="false">IF(J108="",0,IF(J108&lt;Matriz!$B$14,Matriz!$C$13,IF(J108&lt;Matriz!$B$15,Matriz!$C$14,IF(J108&lt;Matriz!$B$16,Matriz!$C$15,Matriz!$C$16))))</f>
        <v>0</v>
      </c>
      <c r="M108" s="14" t="n">
        <f aca="false">IF(ISNUMBER(SEARCH("Seguridad",S108)),Matriz!$C$20,0)</f>
        <v>0</v>
      </c>
      <c r="N108" s="31" t="n">
        <f aca="false">K108+MIN(M108,Matriz!$C$24)</f>
        <v>150</v>
      </c>
      <c r="O108" s="33" t="s">
        <v>677</v>
      </c>
      <c r="P108" s="29" t="s">
        <v>678</v>
      </c>
      <c r="Q108" s="29" t="s">
        <v>678</v>
      </c>
      <c r="R108" s="27" t="s">
        <v>478</v>
      </c>
      <c r="S108" s="28" t="s">
        <v>371</v>
      </c>
      <c r="T108" s="1" t="s">
        <v>679</v>
      </c>
      <c r="U108" s="1"/>
    </row>
    <row r="109" customFormat="false" ht="15" hidden="false" customHeight="true" outlineLevel="0" collapsed="false">
      <c r="A109" s="14" t="n">
        <v>105</v>
      </c>
      <c r="B109" s="14" t="s">
        <v>680</v>
      </c>
      <c r="C109" s="14" t="s">
        <v>626</v>
      </c>
      <c r="D109" s="14" t="s">
        <v>681</v>
      </c>
      <c r="E109" s="14" t="s">
        <v>73</v>
      </c>
      <c r="F109" s="14" t="s">
        <v>99</v>
      </c>
      <c r="G109" s="29" t="s">
        <v>74</v>
      </c>
      <c r="H109" s="15" t="n">
        <v>3</v>
      </c>
      <c r="I109" s="15" t="n">
        <v>1</v>
      </c>
      <c r="J109" s="30"/>
      <c r="K109" s="14" t="n">
        <f aca="false">INDEX(Matriz!$C$7:$E$9,H109,I109)</f>
        <v>150</v>
      </c>
      <c r="L109" s="14" t="n">
        <f aca="false">IF(J109="",0,IF(J109&lt;Matriz!$B$14,Matriz!$C$13,IF(J109&lt;Matriz!$B$15,Matriz!$C$14,IF(J109&lt;Matriz!$B$16,Matriz!$C$15,Matriz!$C$16))))</f>
        <v>0</v>
      </c>
      <c r="M109" s="14" t="n">
        <f aca="false">IF(ISNUMBER(SEARCH("Seguridad",S109)),Matriz!$C$20,0)</f>
        <v>0</v>
      </c>
      <c r="N109" s="31" t="n">
        <f aca="false">K109+MIN(M109,Matriz!$C$24)</f>
        <v>150</v>
      </c>
      <c r="O109" s="33" t="s">
        <v>682</v>
      </c>
      <c r="P109" s="29" t="s">
        <v>683</v>
      </c>
      <c r="Q109" s="29" t="s">
        <v>683</v>
      </c>
      <c r="R109" s="27" t="s">
        <v>684</v>
      </c>
      <c r="S109" s="28" t="s">
        <v>151</v>
      </c>
      <c r="T109" s="1" t="s">
        <v>685</v>
      </c>
      <c r="U109" s="1"/>
    </row>
    <row r="110" customFormat="false" ht="14.25" hidden="false" customHeight="true" outlineLevel="0" collapsed="false">
      <c r="A110" s="14" t="n">
        <v>106</v>
      </c>
      <c r="B110" s="14" t="s">
        <v>686</v>
      </c>
      <c r="C110" s="14" t="s">
        <v>626</v>
      </c>
      <c r="D110" s="14" t="s">
        <v>687</v>
      </c>
      <c r="E110" s="14" t="s">
        <v>73</v>
      </c>
      <c r="F110" s="14" t="s">
        <v>106</v>
      </c>
      <c r="G110" s="29" t="s">
        <v>115</v>
      </c>
      <c r="H110" s="15" t="n">
        <v>2</v>
      </c>
      <c r="I110" s="15" t="n">
        <v>1</v>
      </c>
      <c r="J110" s="30"/>
      <c r="K110" s="14" t="n">
        <f aca="false">INDEX(Matriz!$C$7:$E$9,H110,I110)</f>
        <v>100</v>
      </c>
      <c r="L110" s="14" t="n">
        <f aca="false">IF(J110="",0,IF(J110&lt;Matriz!$B$14,Matriz!$C$13,IF(J110&lt;Matriz!$B$15,Matriz!$C$14,IF(J110&lt;Matriz!$B$16,Matriz!$C$15,Matriz!$C$16))))</f>
        <v>0</v>
      </c>
      <c r="M110" s="14" t="n">
        <f aca="false">IF(ISNUMBER(SEARCH("Seguridad",S110)),Matriz!$C$20,0)</f>
        <v>0</v>
      </c>
      <c r="N110" s="31" t="n">
        <f aca="false">K110+MIN(M110,Matriz!$C$24)</f>
        <v>100</v>
      </c>
      <c r="O110" s="33" t="s">
        <v>688</v>
      </c>
      <c r="P110" s="29" t="s">
        <v>689</v>
      </c>
      <c r="Q110" s="29" t="s">
        <v>689</v>
      </c>
      <c r="R110" s="27" t="s">
        <v>690</v>
      </c>
      <c r="S110" s="28" t="s">
        <v>499</v>
      </c>
      <c r="T110" s="1" t="s">
        <v>691</v>
      </c>
      <c r="U110" s="1"/>
    </row>
    <row r="111" customFormat="false" ht="14.25" hidden="false" customHeight="true" outlineLevel="0" collapsed="false">
      <c r="A111" s="14" t="n">
        <v>107</v>
      </c>
      <c r="B111" s="14" t="s">
        <v>665</v>
      </c>
      <c r="C111" s="14" t="s">
        <v>626</v>
      </c>
      <c r="D111" s="14" t="s">
        <v>538</v>
      </c>
      <c r="E111" s="14" t="s">
        <v>51</v>
      </c>
      <c r="F111" s="14" t="s">
        <v>257</v>
      </c>
      <c r="G111" s="29" t="s">
        <v>53</v>
      </c>
      <c r="H111" s="15" t="n">
        <v>3</v>
      </c>
      <c r="I111" s="15" t="n">
        <v>1</v>
      </c>
      <c r="J111" s="30"/>
      <c r="K111" s="14" t="n">
        <f aca="false">INDEX(Matriz!$C$7:$E$9,H111,I111)</f>
        <v>150</v>
      </c>
      <c r="L111" s="14" t="n">
        <f aca="false">IF(J111="",0,IF(J111&lt;Matriz!$B$14,Matriz!$C$13,IF(J111&lt;Matriz!$B$15,Matriz!$C$14,IF(J111&lt;Matriz!$B$16,Matriz!$C$15,Matriz!$C$16))))</f>
        <v>0</v>
      </c>
      <c r="M111" s="14" t="n">
        <f aca="false">IF(ISNUMBER(SEARCH("Seguridad",S111)),Matriz!$C$20,0)</f>
        <v>100</v>
      </c>
      <c r="N111" s="31" t="n">
        <f aca="false">K111+MIN(M111,Matriz!$C$24)</f>
        <v>250</v>
      </c>
      <c r="O111" s="33" t="s">
        <v>692</v>
      </c>
      <c r="P111" s="29" t="s">
        <v>693</v>
      </c>
      <c r="Q111" s="29" t="s">
        <v>693</v>
      </c>
      <c r="R111" s="27" t="s">
        <v>542</v>
      </c>
      <c r="S111" s="28" t="s">
        <v>53</v>
      </c>
      <c r="T111" s="1" t="s">
        <v>694</v>
      </c>
      <c r="U111" s="1"/>
    </row>
    <row r="112" customFormat="false" ht="14.25" hidden="false" customHeight="true" outlineLevel="0" collapsed="false">
      <c r="A112" s="14" t="n">
        <v>108</v>
      </c>
      <c r="B112" s="14" t="s">
        <v>695</v>
      </c>
      <c r="C112" s="14" t="s">
        <v>626</v>
      </c>
      <c r="D112" s="14" t="s">
        <v>696</v>
      </c>
      <c r="E112" s="14" t="s">
        <v>73</v>
      </c>
      <c r="F112" s="14" t="s">
        <v>173</v>
      </c>
      <c r="G112" s="29" t="s">
        <v>74</v>
      </c>
      <c r="H112" s="15" t="n">
        <v>3</v>
      </c>
      <c r="I112" s="15" t="n">
        <v>2</v>
      </c>
      <c r="J112" s="30"/>
      <c r="K112" s="14" t="n">
        <f aca="false">INDEX(Matriz!$C$7:$E$9,H112,I112)</f>
        <v>300</v>
      </c>
      <c r="L112" s="14" t="n">
        <f aca="false">IF(J112="",0,IF(J112&lt;Matriz!$B$14,Matriz!$C$13,IF(J112&lt;Matriz!$B$15,Matriz!$C$14,IF(J112&lt;Matriz!$B$16,Matriz!$C$15,Matriz!$C$16))))</f>
        <v>0</v>
      </c>
      <c r="M112" s="14" t="n">
        <f aca="false">IF(ISNUMBER(SEARCH("Seguridad",S112)),Matriz!$C$20,0)</f>
        <v>0</v>
      </c>
      <c r="N112" s="31" t="n">
        <f aca="false">K112+MIN(M112,Matriz!$C$24)</f>
        <v>300</v>
      </c>
      <c r="O112" s="33" t="s">
        <v>697</v>
      </c>
      <c r="P112" s="29" t="s">
        <v>698</v>
      </c>
      <c r="Q112" s="29" t="s">
        <v>698</v>
      </c>
      <c r="R112" s="27" t="s">
        <v>699</v>
      </c>
      <c r="S112" s="28" t="s">
        <v>371</v>
      </c>
      <c r="T112" s="1" t="s">
        <v>700</v>
      </c>
      <c r="U112" s="1"/>
    </row>
    <row r="113" customFormat="false" ht="14.25" hidden="false" customHeight="true" outlineLevel="0" collapsed="false">
      <c r="A113" s="14" t="n">
        <v>109</v>
      </c>
      <c r="B113" s="14" t="s">
        <v>701</v>
      </c>
      <c r="C113" s="14" t="s">
        <v>626</v>
      </c>
      <c r="D113" s="14" t="s">
        <v>702</v>
      </c>
      <c r="E113" s="14" t="s">
        <v>163</v>
      </c>
      <c r="F113" s="14" t="s">
        <v>132</v>
      </c>
      <c r="G113" s="29" t="s">
        <v>74</v>
      </c>
      <c r="H113" s="15" t="n">
        <v>3</v>
      </c>
      <c r="I113" s="15" t="n">
        <v>1</v>
      </c>
      <c r="J113" s="30"/>
      <c r="K113" s="14" t="n">
        <f aca="false">INDEX(Matriz!$C$7:$E$9,H113,I113)</f>
        <v>150</v>
      </c>
      <c r="L113" s="14" t="n">
        <f aca="false">IF(J113="",0,IF(J113&lt;Matriz!$B$14,Matriz!$C$13,IF(J113&lt;Matriz!$B$15,Matriz!$C$14,IF(J113&lt;Matriz!$B$16,Matriz!$C$15,Matriz!$C$16))))</f>
        <v>0</v>
      </c>
      <c r="M113" s="14" t="n">
        <f aca="false">IF(ISNUMBER(SEARCH("Seguridad",S113)),Matriz!$C$20,0)</f>
        <v>0</v>
      </c>
      <c r="N113" s="31" t="n">
        <f aca="false">K113+MIN(M113,Matriz!$C$24)</f>
        <v>150</v>
      </c>
      <c r="O113" s="33" t="s">
        <v>703</v>
      </c>
      <c r="P113" s="29" t="s">
        <v>704</v>
      </c>
      <c r="Q113" s="29" t="s">
        <v>704</v>
      </c>
      <c r="R113" s="27" t="s">
        <v>702</v>
      </c>
      <c r="S113" s="28" t="s">
        <v>151</v>
      </c>
      <c r="T113" s="1" t="s">
        <v>705</v>
      </c>
      <c r="U113" s="1"/>
    </row>
    <row r="114" customFormat="false" ht="14.25" hidden="false" customHeight="true" outlineLevel="0" collapsed="false">
      <c r="A114" s="14" t="n">
        <v>110</v>
      </c>
      <c r="B114" s="14" t="s">
        <v>701</v>
      </c>
      <c r="C114" s="14" t="s">
        <v>626</v>
      </c>
      <c r="D114" s="14" t="s">
        <v>311</v>
      </c>
      <c r="E114" s="14" t="s">
        <v>163</v>
      </c>
      <c r="F114" s="14" t="s">
        <v>132</v>
      </c>
      <c r="G114" s="29" t="s">
        <v>53</v>
      </c>
      <c r="H114" s="15" t="n">
        <v>2</v>
      </c>
      <c r="I114" s="15" t="n">
        <v>1</v>
      </c>
      <c r="J114" s="30"/>
      <c r="K114" s="14" t="n">
        <f aca="false">INDEX(Matriz!$C$7:$E$9,H114,I114)</f>
        <v>100</v>
      </c>
      <c r="L114" s="14" t="n">
        <f aca="false">IF(J114="",0,IF(J114&lt;Matriz!$B$14,Matriz!$C$13,IF(J114&lt;Matriz!$B$15,Matriz!$C$14,IF(J114&lt;Matriz!$B$16,Matriz!$C$15,Matriz!$C$16))))</f>
        <v>0</v>
      </c>
      <c r="M114" s="14" t="n">
        <f aca="false">IF(ISNUMBER(SEARCH("Seguridad",S114)),Matriz!$C$20,0)</f>
        <v>0</v>
      </c>
      <c r="N114" s="31" t="n">
        <f aca="false">K114+MIN(M114,Matriz!$C$24)</f>
        <v>100</v>
      </c>
      <c r="O114" s="33" t="s">
        <v>706</v>
      </c>
      <c r="P114" s="29" t="s">
        <v>707</v>
      </c>
      <c r="Q114" s="29" t="s">
        <v>707</v>
      </c>
      <c r="R114" s="27" t="s">
        <v>708</v>
      </c>
      <c r="S114" s="28" t="s">
        <v>709</v>
      </c>
      <c r="T114" s="1" t="s">
        <v>710</v>
      </c>
      <c r="U114" s="1"/>
    </row>
    <row r="115" customFormat="false" ht="14.25" hidden="false" customHeight="true" outlineLevel="0" collapsed="false">
      <c r="A115" s="14" t="n">
        <v>111</v>
      </c>
      <c r="B115" s="14" t="s">
        <v>680</v>
      </c>
      <c r="C115" s="14" t="s">
        <v>626</v>
      </c>
      <c r="D115" s="14" t="s">
        <v>711</v>
      </c>
      <c r="E115" s="14" t="s">
        <v>61</v>
      </c>
      <c r="F115" s="14" t="s">
        <v>132</v>
      </c>
      <c r="G115" s="29" t="s">
        <v>74</v>
      </c>
      <c r="H115" s="15" t="n">
        <v>3</v>
      </c>
      <c r="I115" s="15" t="n">
        <v>2</v>
      </c>
      <c r="J115" s="30"/>
      <c r="K115" s="14" t="n">
        <f aca="false">INDEX(Matriz!$C$7:$E$9,H115,I115)</f>
        <v>300</v>
      </c>
      <c r="L115" s="14" t="n">
        <f aca="false">IF(J115="",0,IF(J115&lt;Matriz!$B$14,Matriz!$C$13,IF(J115&lt;Matriz!$B$15,Matriz!$C$14,IF(J115&lt;Matriz!$B$16,Matriz!$C$15,Matriz!$C$16))))</f>
        <v>0</v>
      </c>
      <c r="M115" s="14" t="n">
        <f aca="false">IF(ISNUMBER(SEARCH("Seguridad",S115)),Matriz!$C$20,0)</f>
        <v>0</v>
      </c>
      <c r="N115" s="31" t="n">
        <f aca="false">K115+MIN(M115,Matriz!$C$24)</f>
        <v>300</v>
      </c>
      <c r="O115" s="33" t="s">
        <v>712</v>
      </c>
      <c r="P115" s="29" t="s">
        <v>713</v>
      </c>
      <c r="Q115" s="29" t="s">
        <v>713</v>
      </c>
      <c r="R115" s="27" t="s">
        <v>714</v>
      </c>
      <c r="S115" s="28" t="s">
        <v>371</v>
      </c>
      <c r="T115" s="1" t="s">
        <v>715</v>
      </c>
      <c r="U115" s="1"/>
    </row>
    <row r="116" customFormat="false" ht="14.25" hidden="false" customHeight="true" outlineLevel="0" collapsed="false">
      <c r="A116" s="14" t="n">
        <v>112</v>
      </c>
      <c r="B116" s="14" t="s">
        <v>686</v>
      </c>
      <c r="C116" s="14" t="s">
        <v>626</v>
      </c>
      <c r="D116" s="14" t="s">
        <v>334</v>
      </c>
      <c r="E116" s="14" t="s">
        <v>61</v>
      </c>
      <c r="F116" s="14" t="s">
        <v>257</v>
      </c>
      <c r="G116" s="29" t="s">
        <v>53</v>
      </c>
      <c r="H116" s="15" t="n">
        <v>3</v>
      </c>
      <c r="I116" s="15" t="n">
        <v>1</v>
      </c>
      <c r="J116" s="30"/>
      <c r="K116" s="14" t="n">
        <f aca="false">INDEX(Matriz!$C$7:$E$9,H116,I116)</f>
        <v>150</v>
      </c>
      <c r="L116" s="14" t="n">
        <f aca="false">IF(J116="",0,IF(J116&lt;Matriz!$B$14,Matriz!$C$13,IF(J116&lt;Matriz!$B$15,Matriz!$C$14,IF(J116&lt;Matriz!$B$16,Matriz!$C$15,Matriz!$C$16))))</f>
        <v>0</v>
      </c>
      <c r="M116" s="14" t="n">
        <f aca="false">IF(ISNUMBER(SEARCH("Seguridad",S116)),Matriz!$C$20,0)</f>
        <v>100</v>
      </c>
      <c r="N116" s="31" t="n">
        <f aca="false">K116+MIN(M116,Matriz!$C$24)</f>
        <v>250</v>
      </c>
      <c r="O116" s="33" t="s">
        <v>716</v>
      </c>
      <c r="P116" s="29" t="s">
        <v>717</v>
      </c>
      <c r="Q116" s="29" t="s">
        <v>717</v>
      </c>
      <c r="R116" s="27" t="s">
        <v>334</v>
      </c>
      <c r="S116" s="28" t="s">
        <v>53</v>
      </c>
      <c r="T116" s="1" t="s">
        <v>718</v>
      </c>
      <c r="U116" s="1"/>
    </row>
    <row r="117" customFormat="false" ht="14.25" hidden="false" customHeight="true" outlineLevel="0" collapsed="false">
      <c r="A117" s="14" t="n">
        <v>113</v>
      </c>
      <c r="B117" s="14" t="s">
        <v>680</v>
      </c>
      <c r="C117" s="14" t="s">
        <v>626</v>
      </c>
      <c r="D117" s="14" t="s">
        <v>481</v>
      </c>
      <c r="E117" s="14" t="s">
        <v>90</v>
      </c>
      <c r="F117" s="14" t="s">
        <v>74</v>
      </c>
      <c r="G117" s="29" t="s">
        <v>115</v>
      </c>
      <c r="H117" s="15" t="n">
        <v>2</v>
      </c>
      <c r="I117" s="15" t="n">
        <v>2</v>
      </c>
      <c r="J117" s="30"/>
      <c r="K117" s="14" t="n">
        <f aca="false">INDEX(Matriz!$C$7:$E$9,H117,I117)</f>
        <v>200</v>
      </c>
      <c r="L117" s="14" t="n">
        <f aca="false">IF(J117="",0,IF(J117&lt;Matriz!$B$14,Matriz!$C$13,IF(J117&lt;Matriz!$B$15,Matriz!$C$14,IF(J117&lt;Matriz!$B$16,Matriz!$C$15,Matriz!$C$16))))</f>
        <v>0</v>
      </c>
      <c r="M117" s="14" t="n">
        <f aca="false">IF(ISNUMBER(SEARCH("Seguridad",S117)),Matriz!$C$20,0)</f>
        <v>0</v>
      </c>
      <c r="N117" s="31" t="n">
        <f aca="false">K117+MIN(M117,Matriz!$C$24)</f>
        <v>200</v>
      </c>
      <c r="O117" s="33" t="s">
        <v>719</v>
      </c>
      <c r="P117" s="29" t="s">
        <v>720</v>
      </c>
      <c r="Q117" s="29" t="s">
        <v>720</v>
      </c>
      <c r="R117" s="27" t="s">
        <v>481</v>
      </c>
      <c r="S117" s="28" t="s">
        <v>187</v>
      </c>
      <c r="T117" s="1" t="s">
        <v>721</v>
      </c>
      <c r="U117" s="1"/>
    </row>
    <row r="118" customFormat="false" ht="14.25" hidden="false" customHeight="true" outlineLevel="0" collapsed="false">
      <c r="A118" s="14" t="n">
        <v>114</v>
      </c>
      <c r="B118" s="14" t="s">
        <v>665</v>
      </c>
      <c r="C118" s="14" t="s">
        <v>626</v>
      </c>
      <c r="D118" s="14" t="s">
        <v>722</v>
      </c>
      <c r="E118" s="14" t="s">
        <v>163</v>
      </c>
      <c r="F118" s="14" t="s">
        <v>173</v>
      </c>
      <c r="G118" s="29" t="s">
        <v>115</v>
      </c>
      <c r="H118" s="15" t="n">
        <v>2</v>
      </c>
      <c r="I118" s="15" t="n">
        <v>1</v>
      </c>
      <c r="J118" s="30"/>
      <c r="K118" s="14" t="n">
        <f aca="false">INDEX(Matriz!$C$7:$E$9,H118,I118)</f>
        <v>100</v>
      </c>
      <c r="L118" s="14" t="n">
        <f aca="false">IF(J118="",0,IF(J118&lt;Matriz!$B$14,Matriz!$C$13,IF(J118&lt;Matriz!$B$15,Matriz!$C$14,IF(J118&lt;Matriz!$B$16,Matriz!$C$15,Matriz!$C$16))))</f>
        <v>0</v>
      </c>
      <c r="M118" s="14" t="n">
        <f aca="false">IF(ISNUMBER(SEARCH("Seguridad",S118)),Matriz!$C$20,0)</f>
        <v>0</v>
      </c>
      <c r="N118" s="31" t="n">
        <f aca="false">K118+MIN(M118,Matriz!$C$24)</f>
        <v>100</v>
      </c>
      <c r="O118" s="33" t="s">
        <v>723</v>
      </c>
      <c r="P118" s="29" t="s">
        <v>724</v>
      </c>
      <c r="Q118" s="29" t="s">
        <v>724</v>
      </c>
      <c r="R118" s="27" t="s">
        <v>725</v>
      </c>
      <c r="S118" s="28" t="s">
        <v>499</v>
      </c>
      <c r="T118" s="1" t="s">
        <v>726</v>
      </c>
      <c r="U118" s="1"/>
    </row>
    <row r="119" customFormat="false" ht="14.25" hidden="false" customHeight="true" outlineLevel="0" collapsed="false">
      <c r="A119" s="14" t="n">
        <v>115</v>
      </c>
      <c r="B119" s="14" t="s">
        <v>727</v>
      </c>
      <c r="C119" s="14" t="s">
        <v>626</v>
      </c>
      <c r="D119" s="14" t="s">
        <v>135</v>
      </c>
      <c r="E119" s="14" t="s">
        <v>90</v>
      </c>
      <c r="F119" s="14" t="s">
        <v>99</v>
      </c>
      <c r="G119" s="29" t="s">
        <v>74</v>
      </c>
      <c r="H119" s="15" t="n">
        <v>3</v>
      </c>
      <c r="I119" s="15" t="n">
        <v>1</v>
      </c>
      <c r="J119" s="30"/>
      <c r="K119" s="14" t="n">
        <f aca="false">INDEX(Matriz!$C$7:$E$9,H119,I119)</f>
        <v>150</v>
      </c>
      <c r="L119" s="14" t="n">
        <f aca="false">IF(J119="",0,IF(J119&lt;Matriz!$B$14,Matriz!$C$13,IF(J119&lt;Matriz!$B$15,Matriz!$C$14,IF(J119&lt;Matriz!$B$16,Matriz!$C$15,Matriz!$C$16))))</f>
        <v>0</v>
      </c>
      <c r="M119" s="14" t="n">
        <f aca="false">IF(ISNUMBER(SEARCH("Seguridad",S119)),Matriz!$C$20,0)</f>
        <v>0</v>
      </c>
      <c r="N119" s="31" t="n">
        <f aca="false">K119+MIN(M119,Matriz!$C$24)</f>
        <v>150</v>
      </c>
      <c r="O119" s="33" t="s">
        <v>728</v>
      </c>
      <c r="P119" s="29" t="s">
        <v>729</v>
      </c>
      <c r="Q119" s="29" t="s">
        <v>729</v>
      </c>
      <c r="R119" s="27" t="s">
        <v>114</v>
      </c>
      <c r="S119" s="28" t="s">
        <v>151</v>
      </c>
      <c r="T119" s="1" t="s">
        <v>730</v>
      </c>
      <c r="U119" s="1"/>
    </row>
    <row r="120" customFormat="false" ht="14.25" hidden="false" customHeight="true" outlineLevel="0" collapsed="false">
      <c r="A120" s="14" t="n">
        <v>116</v>
      </c>
      <c r="B120" s="14" t="s">
        <v>680</v>
      </c>
      <c r="C120" s="14" t="s">
        <v>626</v>
      </c>
      <c r="D120" s="14" t="s">
        <v>731</v>
      </c>
      <c r="E120" s="14" t="s">
        <v>90</v>
      </c>
      <c r="F120" s="14" t="s">
        <v>173</v>
      </c>
      <c r="G120" s="29" t="s">
        <v>53</v>
      </c>
      <c r="H120" s="15" t="n">
        <v>3</v>
      </c>
      <c r="I120" s="15" t="n">
        <v>2</v>
      </c>
      <c r="J120" s="30"/>
      <c r="K120" s="14" t="n">
        <f aca="false">INDEX(Matriz!$C$7:$E$9,H120,I120)</f>
        <v>300</v>
      </c>
      <c r="L120" s="14" t="n">
        <f aca="false">IF(J120="",0,IF(J120&lt;Matriz!$B$14,Matriz!$C$13,IF(J120&lt;Matriz!$B$15,Matriz!$C$14,IF(J120&lt;Matriz!$B$16,Matriz!$C$15,Matriz!$C$16))))</f>
        <v>0</v>
      </c>
      <c r="M120" s="14" t="n">
        <f aca="false">IF(ISNUMBER(SEARCH("Seguridad",S120)),Matriz!$C$20,0)</f>
        <v>100</v>
      </c>
      <c r="N120" s="31" t="n">
        <f aca="false">K120+MIN(M120,Matriz!$C$24)</f>
        <v>400</v>
      </c>
      <c r="O120" s="33" t="s">
        <v>732</v>
      </c>
      <c r="P120" s="29" t="s">
        <v>733</v>
      </c>
      <c r="Q120" s="29" t="s">
        <v>733</v>
      </c>
      <c r="R120" s="27" t="s">
        <v>172</v>
      </c>
      <c r="S120" s="28" t="s">
        <v>53</v>
      </c>
      <c r="T120" s="1" t="s">
        <v>734</v>
      </c>
      <c r="U120" s="1"/>
    </row>
    <row r="121" customFormat="false" ht="14.25" hidden="false" customHeight="true" outlineLevel="0" collapsed="false">
      <c r="A121" s="14" t="n">
        <v>117</v>
      </c>
      <c r="B121" s="14" t="s">
        <v>735</v>
      </c>
      <c r="C121" s="14" t="s">
        <v>626</v>
      </c>
      <c r="D121" s="14" t="s">
        <v>736</v>
      </c>
      <c r="E121" s="14" t="s">
        <v>90</v>
      </c>
      <c r="F121" s="14" t="s">
        <v>140</v>
      </c>
      <c r="G121" s="29" t="s">
        <v>63</v>
      </c>
      <c r="H121" s="15" t="n">
        <v>3</v>
      </c>
      <c r="I121" s="15" t="n">
        <v>2</v>
      </c>
      <c r="J121" s="30"/>
      <c r="K121" s="14" t="n">
        <f aca="false">INDEX(Matriz!$C$7:$E$9,H121,I121)</f>
        <v>300</v>
      </c>
      <c r="L121" s="14" t="n">
        <f aca="false">IF(J121="",0,IF(J121&lt;Matriz!$B$14,Matriz!$C$13,IF(J121&lt;Matriz!$B$15,Matriz!$C$14,IF(J121&lt;Matriz!$B$16,Matriz!$C$15,Matriz!$C$16))))</f>
        <v>0</v>
      </c>
      <c r="M121" s="14" t="n">
        <f aca="false">IF(ISNUMBER(SEARCH("Seguridad",S121)),Matriz!$C$20,0)</f>
        <v>0</v>
      </c>
      <c r="N121" s="31" t="n">
        <f aca="false">K121+MIN(M121,Matriz!$C$24)</f>
        <v>300</v>
      </c>
      <c r="O121" s="33" t="s">
        <v>737</v>
      </c>
      <c r="P121" s="29" t="s">
        <v>738</v>
      </c>
      <c r="Q121" s="29" t="s">
        <v>738</v>
      </c>
      <c r="R121" s="27" t="s">
        <v>739</v>
      </c>
      <c r="S121" s="28" t="s">
        <v>68</v>
      </c>
      <c r="T121" s="1" t="s">
        <v>740</v>
      </c>
      <c r="U121" s="1"/>
    </row>
    <row r="122" customFormat="false" ht="14.25" hidden="false" customHeight="true" outlineLevel="0" collapsed="false">
      <c r="A122" s="14" t="n">
        <v>118</v>
      </c>
      <c r="B122" s="14" t="s">
        <v>741</v>
      </c>
      <c r="C122" s="14" t="s">
        <v>626</v>
      </c>
      <c r="D122" s="14" t="s">
        <v>742</v>
      </c>
      <c r="E122" s="14" t="s">
        <v>51</v>
      </c>
      <c r="F122" s="14" t="s">
        <v>248</v>
      </c>
      <c r="G122" s="29" t="s">
        <v>74</v>
      </c>
      <c r="H122" s="15" t="n">
        <v>3</v>
      </c>
      <c r="I122" s="15" t="n">
        <v>1</v>
      </c>
      <c r="J122" s="30"/>
      <c r="K122" s="14" t="n">
        <f aca="false">INDEX(Matriz!$C$7:$E$9,H122,I122)</f>
        <v>150</v>
      </c>
      <c r="L122" s="14" t="n">
        <f aca="false">IF(J122="",0,IF(J122&lt;Matriz!$B$14,Matriz!$C$13,IF(J122&lt;Matriz!$B$15,Matriz!$C$14,IF(J122&lt;Matriz!$B$16,Matriz!$C$15,Matriz!$C$16))))</f>
        <v>0</v>
      </c>
      <c r="M122" s="14" t="n">
        <f aca="false">IF(ISNUMBER(SEARCH("Seguridad",S122)),Matriz!$C$20,0)</f>
        <v>0</v>
      </c>
      <c r="N122" s="31" t="n">
        <f aca="false">K122+MIN(M122,Matriz!$C$24)</f>
        <v>150</v>
      </c>
      <c r="O122" s="33" t="s">
        <v>743</v>
      </c>
      <c r="P122" s="29" t="s">
        <v>744</v>
      </c>
      <c r="Q122" s="29" t="s">
        <v>744</v>
      </c>
      <c r="R122" s="27" t="s">
        <v>742</v>
      </c>
      <c r="S122" s="28" t="s">
        <v>371</v>
      </c>
      <c r="T122" s="1" t="s">
        <v>745</v>
      </c>
      <c r="U122" s="1"/>
    </row>
    <row r="123" customFormat="false" ht="14.25" hidden="false" customHeight="true" outlineLevel="0" collapsed="false">
      <c r="A123" s="14" t="n">
        <v>119</v>
      </c>
      <c r="B123" s="14" t="s">
        <v>680</v>
      </c>
      <c r="C123" s="14" t="s">
        <v>626</v>
      </c>
      <c r="D123" s="14" t="s">
        <v>746</v>
      </c>
      <c r="E123" s="14" t="s">
        <v>163</v>
      </c>
      <c r="F123" s="14" t="s">
        <v>257</v>
      </c>
      <c r="G123" s="29" t="s">
        <v>53</v>
      </c>
      <c r="H123" s="15" t="n">
        <v>3</v>
      </c>
      <c r="I123" s="15" t="n">
        <v>1</v>
      </c>
      <c r="J123" s="30"/>
      <c r="K123" s="14" t="n">
        <f aca="false">INDEX(Matriz!$C$7:$E$9,H123,I123)</f>
        <v>150</v>
      </c>
      <c r="L123" s="14" t="n">
        <f aca="false">IF(J123="",0,IF(J123&lt;Matriz!$B$14,Matriz!$C$13,IF(J123&lt;Matriz!$B$15,Matriz!$C$14,IF(J123&lt;Matriz!$B$16,Matriz!$C$15,Matriz!$C$16))))</f>
        <v>0</v>
      </c>
      <c r="M123" s="14" t="n">
        <f aca="false">IF(ISNUMBER(SEARCH("Seguridad",S123)),Matriz!$C$20,0)</f>
        <v>100</v>
      </c>
      <c r="N123" s="31" t="n">
        <f aca="false">K123+MIN(M123,Matriz!$C$24)</f>
        <v>250</v>
      </c>
      <c r="O123" s="33" t="s">
        <v>747</v>
      </c>
      <c r="P123" s="29" t="s">
        <v>748</v>
      </c>
      <c r="Q123" s="29" t="s">
        <v>748</v>
      </c>
      <c r="R123" s="27" t="s">
        <v>749</v>
      </c>
      <c r="S123" s="28" t="s">
        <v>53</v>
      </c>
      <c r="T123" s="1" t="s">
        <v>750</v>
      </c>
      <c r="U123" s="1"/>
    </row>
    <row r="124" customFormat="false" ht="14.25" hidden="false" customHeight="true" outlineLevel="0" collapsed="false">
      <c r="A124" s="34" t="n">
        <v>120</v>
      </c>
      <c r="B124" s="34" t="s">
        <v>618</v>
      </c>
      <c r="C124" s="34" t="s">
        <v>358</v>
      </c>
      <c r="D124" s="34" t="s">
        <v>751</v>
      </c>
      <c r="E124" s="34" t="s">
        <v>163</v>
      </c>
      <c r="F124" s="34" t="s">
        <v>140</v>
      </c>
      <c r="G124" s="35" t="s">
        <v>115</v>
      </c>
      <c r="H124" s="36" t="n">
        <v>2</v>
      </c>
      <c r="I124" s="36" t="n">
        <v>3</v>
      </c>
      <c r="J124" s="37"/>
      <c r="K124" s="34" t="n">
        <f aca="false">INDEX(Matriz!$C$7:$E$9,H124,I124)</f>
        <v>300</v>
      </c>
      <c r="L124" s="34" t="n">
        <f aca="false">IF(J124="",0,IF(J124&lt;Matriz!$B$14,Matriz!$C$13,IF(J124&lt;Matriz!$B$15,Matriz!$C$14,IF(J124&lt;Matriz!$B$16,Matriz!$C$15,Matriz!$C$16))))</f>
        <v>0</v>
      </c>
      <c r="M124" s="34" t="n">
        <f aca="false">IF(ISNUMBER(SEARCH("Seguridad",S124)),Matriz!$C$20,0)</f>
        <v>0</v>
      </c>
      <c r="N124" s="38" t="n">
        <f aca="false">K124+MIN(M124,Matriz!$C$24)</f>
        <v>300</v>
      </c>
      <c r="O124" s="39" t="s">
        <v>752</v>
      </c>
      <c r="P124" s="35" t="s">
        <v>753</v>
      </c>
      <c r="Q124" s="35" t="s">
        <v>753</v>
      </c>
      <c r="R124" s="40" t="s">
        <v>274</v>
      </c>
      <c r="S124" s="41" t="s">
        <v>499</v>
      </c>
      <c r="T124" s="1" t="s">
        <v>754</v>
      </c>
      <c r="U124" s="1"/>
    </row>
    <row r="125" customFormat="false" ht="14.25" hidden="false" customHeight="true" outlineLevel="0" collapsed="false">
      <c r="A125" s="34" t="n">
        <v>121</v>
      </c>
      <c r="B125" s="34" t="s">
        <v>426</v>
      </c>
      <c r="C125" s="34" t="s">
        <v>113</v>
      </c>
      <c r="D125" s="34" t="s">
        <v>755</v>
      </c>
      <c r="E125" s="34" t="s">
        <v>73</v>
      </c>
      <c r="F125" s="34" t="s">
        <v>83</v>
      </c>
      <c r="G125" s="35" t="s">
        <v>63</v>
      </c>
      <c r="H125" s="36" t="n">
        <v>3</v>
      </c>
      <c r="I125" s="36" t="n">
        <v>3</v>
      </c>
      <c r="J125" s="37"/>
      <c r="K125" s="34" t="n">
        <f aca="false">INDEX(Matriz!$C$7:$E$9,H125,I125)</f>
        <v>450</v>
      </c>
      <c r="L125" s="34" t="n">
        <f aca="false">IF(J125="",0,IF(J125&lt;Matriz!$B$14,Matriz!$C$13,IF(J125&lt;Matriz!$B$15,Matriz!$C$14,IF(J125&lt;Matriz!$B$16,Matriz!$C$15,Matriz!$C$16))))</f>
        <v>0</v>
      </c>
      <c r="M125" s="34" t="n">
        <f aca="false">IF(ISNUMBER(SEARCH("Seguridad",S125)),Matriz!$C$20,0)</f>
        <v>0</v>
      </c>
      <c r="N125" s="38" t="n">
        <f aca="false">K125+MIN(M125,Matriz!$C$24)</f>
        <v>450</v>
      </c>
      <c r="O125" s="39" t="s">
        <v>756</v>
      </c>
      <c r="P125" s="35" t="s">
        <v>757</v>
      </c>
      <c r="Q125" s="35" t="s">
        <v>757</v>
      </c>
      <c r="R125" s="40" t="s">
        <v>82</v>
      </c>
      <c r="S125" s="41" t="s">
        <v>68</v>
      </c>
      <c r="T125" s="1" t="s">
        <v>758</v>
      </c>
      <c r="U125" s="1"/>
    </row>
    <row r="126" customFormat="false" ht="14.25" hidden="false" customHeight="true" outlineLevel="0" collapsed="false">
      <c r="A126" s="34" t="n">
        <v>122</v>
      </c>
      <c r="B126" s="34" t="s">
        <v>680</v>
      </c>
      <c r="C126" s="34" t="s">
        <v>626</v>
      </c>
      <c r="D126" s="34" t="s">
        <v>256</v>
      </c>
      <c r="E126" s="34" t="s">
        <v>90</v>
      </c>
      <c r="F126" s="34" t="s">
        <v>173</v>
      </c>
      <c r="G126" s="35" t="s">
        <v>53</v>
      </c>
      <c r="H126" s="36" t="n">
        <v>3</v>
      </c>
      <c r="I126" s="36" t="n">
        <v>1</v>
      </c>
      <c r="J126" s="37"/>
      <c r="K126" s="34" t="n">
        <f aca="false">INDEX(Matriz!$C$7:$E$9,H126,I126)</f>
        <v>150</v>
      </c>
      <c r="L126" s="34" t="n">
        <f aca="false">IF(J126="",0,IF(J126&lt;Matriz!$B$14,Matriz!$C$13,IF(J126&lt;Matriz!$B$15,Matriz!$C$14,IF(J126&lt;Matriz!$B$16,Matriz!$C$15,Matriz!$C$16))))</f>
        <v>0</v>
      </c>
      <c r="M126" s="34" t="n">
        <f aca="false">IF(ISNUMBER(SEARCH("Seguridad",S126)),Matriz!$C$20,0)</f>
        <v>100</v>
      </c>
      <c r="N126" s="38" t="n">
        <f aca="false">K126+MIN(M126,Matriz!$C$24)</f>
        <v>250</v>
      </c>
      <c r="O126" s="39" t="s">
        <v>759</v>
      </c>
      <c r="P126" s="35" t="s">
        <v>760</v>
      </c>
      <c r="Q126" s="35" t="s">
        <v>760</v>
      </c>
      <c r="R126" s="40" t="s">
        <v>256</v>
      </c>
      <c r="S126" s="41" t="s">
        <v>53</v>
      </c>
      <c r="T126" s="1" t="s">
        <v>761</v>
      </c>
      <c r="U126" s="1"/>
    </row>
    <row r="127" customFormat="false" ht="14.25" hidden="false" customHeight="true" outlineLevel="0" collapsed="false">
      <c r="A127" s="34" t="n">
        <v>123</v>
      </c>
      <c r="B127" s="34" t="s">
        <v>680</v>
      </c>
      <c r="C127" s="34" t="s">
        <v>626</v>
      </c>
      <c r="D127" s="34" t="s">
        <v>762</v>
      </c>
      <c r="E127" s="34" t="s">
        <v>61</v>
      </c>
      <c r="F127" s="34" t="s">
        <v>106</v>
      </c>
      <c r="G127" s="35" t="s">
        <v>115</v>
      </c>
      <c r="H127" s="36" t="n">
        <v>2</v>
      </c>
      <c r="I127" s="36" t="n">
        <v>2</v>
      </c>
      <c r="J127" s="37"/>
      <c r="K127" s="34" t="n">
        <f aca="false">INDEX(Matriz!$C$7:$E$9,H127,I127)</f>
        <v>200</v>
      </c>
      <c r="L127" s="34" t="n">
        <f aca="false">IF(J127="",0,IF(J127&lt;Matriz!$B$14,Matriz!$C$13,IF(J127&lt;Matriz!$B$15,Matriz!$C$14,IF(J127&lt;Matriz!$B$16,Matriz!$C$15,Matriz!$C$16))))</f>
        <v>0</v>
      </c>
      <c r="M127" s="34" t="n">
        <f aca="false">IF(ISNUMBER(SEARCH("Seguridad",S127)),Matriz!$C$20,0)</f>
        <v>0</v>
      </c>
      <c r="N127" s="38" t="n">
        <f aca="false">K127+MIN(M127,Matriz!$C$24)</f>
        <v>200</v>
      </c>
      <c r="O127" s="39" t="s">
        <v>763</v>
      </c>
      <c r="P127" s="35" t="s">
        <v>764</v>
      </c>
      <c r="Q127" s="35" t="s">
        <v>764</v>
      </c>
      <c r="R127" s="40" t="s">
        <v>765</v>
      </c>
      <c r="S127" s="41" t="s">
        <v>499</v>
      </c>
      <c r="T127" s="1" t="s">
        <v>766</v>
      </c>
      <c r="U127" s="1"/>
    </row>
    <row r="128" customFormat="false" ht="14.25" hidden="false" customHeight="true" outlineLevel="0" collapsed="false">
      <c r="A128" s="34" t="n">
        <v>124</v>
      </c>
      <c r="B128" s="34" t="s">
        <v>767</v>
      </c>
      <c r="C128" s="34" t="s">
        <v>768</v>
      </c>
      <c r="D128" s="34" t="s">
        <v>769</v>
      </c>
      <c r="E128" s="34" t="s">
        <v>163</v>
      </c>
      <c r="F128" s="34" t="s">
        <v>106</v>
      </c>
      <c r="G128" s="35" t="s">
        <v>115</v>
      </c>
      <c r="H128" s="36" t="n">
        <v>2</v>
      </c>
      <c r="I128" s="36" t="n">
        <v>2</v>
      </c>
      <c r="J128" s="37"/>
      <c r="K128" s="34" t="n">
        <f aca="false">INDEX(Matriz!$C$7:$E$9,H128,I128)</f>
        <v>200</v>
      </c>
      <c r="L128" s="34" t="n">
        <f aca="false">IF(J128="",0,IF(J128&lt;Matriz!$B$14,Matriz!$C$13,IF(J128&lt;Matriz!$B$15,Matriz!$C$14,IF(J128&lt;Matriz!$B$16,Matriz!$C$15,Matriz!$C$16))))</f>
        <v>0</v>
      </c>
      <c r="M128" s="34" t="n">
        <f aca="false">IF(ISNUMBER(SEARCH("Seguridad",S128)),Matriz!$C$20,0)</f>
        <v>0</v>
      </c>
      <c r="N128" s="38" t="n">
        <f aca="false">K128+MIN(M128,Matriz!$C$24)</f>
        <v>200</v>
      </c>
      <c r="O128" s="39" t="s">
        <v>770</v>
      </c>
      <c r="P128" s="35" t="s">
        <v>771</v>
      </c>
      <c r="Q128" s="35" t="s">
        <v>771</v>
      </c>
      <c r="R128" s="40" t="s">
        <v>769</v>
      </c>
      <c r="S128" s="41" t="s">
        <v>187</v>
      </c>
      <c r="T128" s="1" t="s">
        <v>772</v>
      </c>
      <c r="U128" s="1"/>
    </row>
    <row r="129" customFormat="false" ht="14.25" hidden="false" customHeight="true" outlineLevel="0" collapsed="false">
      <c r="A129" s="34" t="n">
        <v>125</v>
      </c>
      <c r="B129" s="34" t="s">
        <v>773</v>
      </c>
      <c r="C129" s="34" t="s">
        <v>626</v>
      </c>
      <c r="D129" s="34" t="s">
        <v>774</v>
      </c>
      <c r="E129" s="34" t="s">
        <v>90</v>
      </c>
      <c r="F129" s="34" t="s">
        <v>106</v>
      </c>
      <c r="G129" s="35" t="s">
        <v>63</v>
      </c>
      <c r="H129" s="36" t="n">
        <v>3</v>
      </c>
      <c r="I129" s="36" t="n">
        <v>1</v>
      </c>
      <c r="J129" s="37"/>
      <c r="K129" s="34" t="n">
        <f aca="false">INDEX(Matriz!$C$7:$E$9,H129,I129)</f>
        <v>150</v>
      </c>
      <c r="L129" s="34" t="n">
        <f aca="false">IF(J129="",0,IF(J129&lt;Matriz!$B$14,Matriz!$C$13,IF(J129&lt;Matriz!$B$15,Matriz!$C$14,IF(J129&lt;Matriz!$B$16,Matriz!$C$15,Matriz!$C$16))))</f>
        <v>0</v>
      </c>
      <c r="M129" s="34" t="n">
        <f aca="false">IF(ISNUMBER(SEARCH("Seguridad",S129)),Matriz!$C$20,0)</f>
        <v>0</v>
      </c>
      <c r="N129" s="38" t="n">
        <f aca="false">K129+MIN(M129,Matriz!$C$24)</f>
        <v>150</v>
      </c>
      <c r="O129" s="39" t="s">
        <v>775</v>
      </c>
      <c r="P129" s="35" t="s">
        <v>776</v>
      </c>
      <c r="Q129" s="35" t="s">
        <v>776</v>
      </c>
      <c r="R129" s="40" t="s">
        <v>777</v>
      </c>
      <c r="S129" s="41" t="s">
        <v>68</v>
      </c>
      <c r="T129" s="1" t="s">
        <v>778</v>
      </c>
      <c r="U129" s="1"/>
    </row>
    <row r="130" customFormat="false" ht="14.25" hidden="false" customHeight="true" outlineLevel="0" collapsed="false">
      <c r="A130" s="34" t="n">
        <v>126</v>
      </c>
      <c r="B130" s="34" t="s">
        <v>779</v>
      </c>
      <c r="C130" s="34" t="s">
        <v>49</v>
      </c>
      <c r="D130" s="34" t="s">
        <v>780</v>
      </c>
      <c r="E130" s="34" t="s">
        <v>51</v>
      </c>
      <c r="F130" s="34" t="s">
        <v>173</v>
      </c>
      <c r="G130" s="35" t="s">
        <v>115</v>
      </c>
      <c r="H130" s="36" t="n">
        <v>2</v>
      </c>
      <c r="I130" s="36" t="n">
        <v>1</v>
      </c>
      <c r="J130" s="37"/>
      <c r="K130" s="34" t="n">
        <f aca="false">INDEX(Matriz!$C$7:$E$9,H130,I130)</f>
        <v>100</v>
      </c>
      <c r="L130" s="34" t="n">
        <f aca="false">IF(J130="",0,IF(J130&lt;Matriz!$B$14,Matriz!$C$13,IF(J130&lt;Matriz!$B$15,Matriz!$C$14,IF(J130&lt;Matriz!$B$16,Matriz!$C$15,Matriz!$C$16))))</f>
        <v>0</v>
      </c>
      <c r="M130" s="34" t="n">
        <f aca="false">IF(ISNUMBER(SEARCH("Seguridad",S130)),Matriz!$C$20,0)</f>
        <v>0</v>
      </c>
      <c r="N130" s="38" t="n">
        <f aca="false">K130+MIN(M130,Matriz!$C$24)</f>
        <v>100</v>
      </c>
      <c r="O130" s="39" t="s">
        <v>781</v>
      </c>
      <c r="P130" s="35" t="s">
        <v>782</v>
      </c>
      <c r="Q130" s="35" t="s">
        <v>782</v>
      </c>
      <c r="R130" s="40" t="s">
        <v>201</v>
      </c>
      <c r="S130" s="41" t="s">
        <v>187</v>
      </c>
      <c r="T130" s="1" t="s">
        <v>783</v>
      </c>
      <c r="U130" s="1"/>
    </row>
    <row r="131" customFormat="false" ht="14.25" hidden="false" customHeight="true" outlineLevel="0" collapsed="false">
      <c r="A131" s="34" t="n">
        <v>127</v>
      </c>
      <c r="B131" s="34" t="s">
        <v>784</v>
      </c>
      <c r="C131" s="34" t="s">
        <v>768</v>
      </c>
      <c r="D131" s="34" t="s">
        <v>60</v>
      </c>
      <c r="E131" s="34" t="s">
        <v>61</v>
      </c>
      <c r="F131" s="34" t="s">
        <v>62</v>
      </c>
      <c r="G131" s="35" t="s">
        <v>63</v>
      </c>
      <c r="H131" s="36" t="n">
        <v>3</v>
      </c>
      <c r="I131" s="36" t="n">
        <v>2</v>
      </c>
      <c r="J131" s="37"/>
      <c r="K131" s="34" t="n">
        <f aca="false">INDEX(Matriz!$C$7:$E$9,H131,I131)</f>
        <v>300</v>
      </c>
      <c r="L131" s="34" t="n">
        <f aca="false">IF(J131="",0,IF(J131&lt;Matriz!$B$14,Matriz!$C$13,IF(J131&lt;Matriz!$B$15,Matriz!$C$14,IF(J131&lt;Matriz!$B$16,Matriz!$C$15,Matriz!$C$16))))</f>
        <v>0</v>
      </c>
      <c r="M131" s="34" t="n">
        <f aca="false">IF(ISNUMBER(SEARCH("Seguridad",S131)),Matriz!$C$20,0)</f>
        <v>0</v>
      </c>
      <c r="N131" s="38" t="n">
        <f aca="false">K131+MIN(M131,Matriz!$C$24)</f>
        <v>300</v>
      </c>
      <c r="O131" s="39" t="s">
        <v>785</v>
      </c>
      <c r="P131" s="35" t="s">
        <v>786</v>
      </c>
      <c r="Q131" s="35" t="s">
        <v>786</v>
      </c>
      <c r="R131" s="40" t="s">
        <v>60</v>
      </c>
      <c r="S131" s="41" t="s">
        <v>68</v>
      </c>
      <c r="T131" s="1" t="s">
        <v>787</v>
      </c>
      <c r="U131" s="1"/>
    </row>
    <row r="132" customFormat="false" ht="14.25" hidden="false" customHeight="true" outlineLevel="0" collapsed="false">
      <c r="A132" s="34" t="n">
        <v>128</v>
      </c>
      <c r="B132" s="34" t="s">
        <v>788</v>
      </c>
      <c r="C132" s="34" t="s">
        <v>626</v>
      </c>
      <c r="D132" s="34" t="s">
        <v>789</v>
      </c>
      <c r="E132" s="34" t="s">
        <v>790</v>
      </c>
      <c r="F132" s="34" t="s">
        <v>173</v>
      </c>
      <c r="G132" s="35" t="s">
        <v>74</v>
      </c>
      <c r="H132" s="36" t="n">
        <v>3</v>
      </c>
      <c r="I132" s="36" t="n">
        <v>1</v>
      </c>
      <c r="J132" s="37"/>
      <c r="K132" s="34" t="n">
        <f aca="false">INDEX(Matriz!$C$7:$E$9,H132,I132)</f>
        <v>150</v>
      </c>
      <c r="L132" s="34" t="n">
        <f aca="false">IF(J132="",0,IF(J132&lt;Matriz!$B$14,Matriz!$C$13,IF(J132&lt;Matriz!$B$15,Matriz!$C$14,IF(J132&lt;Matriz!$B$16,Matriz!$C$15,Matriz!$C$16))))</f>
        <v>0</v>
      </c>
      <c r="M132" s="34" t="n">
        <f aca="false">IF(ISNUMBER(SEARCH("Seguridad",S132)),Matriz!$C$20,0)</f>
        <v>0</v>
      </c>
      <c r="N132" s="38" t="n">
        <f aca="false">K132+MIN(M132,Matriz!$C$24)</f>
        <v>150</v>
      </c>
      <c r="O132" s="39" t="s">
        <v>791</v>
      </c>
      <c r="P132" s="35" t="s">
        <v>792</v>
      </c>
      <c r="Q132" s="35" t="s">
        <v>792</v>
      </c>
      <c r="R132" s="40" t="s">
        <v>793</v>
      </c>
      <c r="S132" s="41" t="s">
        <v>371</v>
      </c>
      <c r="T132" s="1" t="s">
        <v>794</v>
      </c>
      <c r="U132" s="1"/>
    </row>
    <row r="133" customFormat="false" ht="14.25" hidden="false" customHeight="true" outlineLevel="0" collapsed="false">
      <c r="A133" s="34" t="n">
        <v>129</v>
      </c>
      <c r="B133" s="34" t="s">
        <v>246</v>
      </c>
      <c r="C133" s="34" t="s">
        <v>104</v>
      </c>
      <c r="D133" s="34" t="s">
        <v>795</v>
      </c>
      <c r="E133" s="34" t="s">
        <v>790</v>
      </c>
      <c r="F133" s="34" t="s">
        <v>106</v>
      </c>
      <c r="G133" s="35" t="s">
        <v>53</v>
      </c>
      <c r="H133" s="36" t="n">
        <v>3</v>
      </c>
      <c r="I133" s="36" t="n">
        <v>1</v>
      </c>
      <c r="J133" s="37"/>
      <c r="K133" s="34" t="n">
        <f aca="false">INDEX(Matriz!$C$7:$E$9,H133,I133)</f>
        <v>150</v>
      </c>
      <c r="L133" s="34" t="n">
        <f aca="false">IF(J133="",0,IF(J133&lt;Matriz!$B$14,Matriz!$C$13,IF(J133&lt;Matriz!$B$15,Matriz!$C$14,IF(J133&lt;Matriz!$B$16,Matriz!$C$15,Matriz!$C$16))))</f>
        <v>0</v>
      </c>
      <c r="M133" s="34" t="n">
        <f aca="false">IF(ISNUMBER(SEARCH("Seguridad",S133)),Matriz!$C$20,0)</f>
        <v>100</v>
      </c>
      <c r="N133" s="38" t="n">
        <f aca="false">K133+MIN(M133,Matriz!$C$24)</f>
        <v>250</v>
      </c>
      <c r="O133" s="39" t="s">
        <v>796</v>
      </c>
      <c r="P133" s="35" t="s">
        <v>797</v>
      </c>
      <c r="Q133" s="35" t="s">
        <v>797</v>
      </c>
      <c r="R133" s="40" t="s">
        <v>798</v>
      </c>
      <c r="S133" s="41" t="s">
        <v>53</v>
      </c>
      <c r="T133" s="1" t="s">
        <v>799</v>
      </c>
      <c r="U133" s="1"/>
    </row>
    <row r="134" customFormat="false" ht="14.25" hidden="false" customHeight="true" outlineLevel="0" collapsed="false">
      <c r="A134" s="34" t="n">
        <v>130</v>
      </c>
      <c r="B134" s="34" t="s">
        <v>246</v>
      </c>
      <c r="C134" s="34" t="s">
        <v>104</v>
      </c>
      <c r="D134" s="34" t="s">
        <v>795</v>
      </c>
      <c r="E134" s="34" t="s">
        <v>790</v>
      </c>
      <c r="F134" s="34" t="s">
        <v>106</v>
      </c>
      <c r="G134" s="35" t="s">
        <v>53</v>
      </c>
      <c r="H134" s="36" t="n">
        <v>3</v>
      </c>
      <c r="I134" s="36" t="n">
        <v>1</v>
      </c>
      <c r="J134" s="37"/>
      <c r="K134" s="34" t="n">
        <f aca="false">INDEX(Matriz!$C$7:$E$9,H134,I134)</f>
        <v>150</v>
      </c>
      <c r="L134" s="34" t="n">
        <f aca="false">IF(J134="",0,IF(J134&lt;Matriz!$B$14,Matriz!$C$13,IF(J134&lt;Matriz!$B$15,Matriz!$C$14,IF(J134&lt;Matriz!$B$16,Matriz!$C$15,Matriz!$C$16))))</f>
        <v>0</v>
      </c>
      <c r="M134" s="34" t="n">
        <f aca="false">IF(ISNUMBER(SEARCH("Seguridad",S134)),Matriz!$C$20,0)</f>
        <v>100</v>
      </c>
      <c r="N134" s="38" t="n">
        <f aca="false">K134+MIN(M134,Matriz!$C$24)</f>
        <v>250</v>
      </c>
      <c r="O134" s="39" t="s">
        <v>800</v>
      </c>
      <c r="P134" s="35" t="s">
        <v>801</v>
      </c>
      <c r="Q134" s="35" t="s">
        <v>801</v>
      </c>
      <c r="R134" s="40" t="s">
        <v>798</v>
      </c>
      <c r="S134" s="41" t="s">
        <v>53</v>
      </c>
      <c r="T134" s="1" t="s">
        <v>799</v>
      </c>
      <c r="U134" s="1"/>
    </row>
    <row r="135" customFormat="false" ht="14.25" hidden="false" customHeight="true" outlineLevel="0" collapsed="false">
      <c r="A135" s="34" t="n">
        <v>131</v>
      </c>
      <c r="B135" s="34" t="s">
        <v>680</v>
      </c>
      <c r="C135" s="34" t="s">
        <v>626</v>
      </c>
      <c r="D135" s="34" t="s">
        <v>795</v>
      </c>
      <c r="E135" s="34" t="s">
        <v>790</v>
      </c>
      <c r="F135" s="34" t="s">
        <v>106</v>
      </c>
      <c r="G135" s="35" t="s">
        <v>115</v>
      </c>
      <c r="H135" s="36" t="n">
        <v>2</v>
      </c>
      <c r="I135" s="36" t="n">
        <v>1</v>
      </c>
      <c r="J135" s="37"/>
      <c r="K135" s="34" t="n">
        <f aca="false">INDEX(Matriz!$C$7:$E$9,H135,I135)</f>
        <v>100</v>
      </c>
      <c r="L135" s="34" t="n">
        <f aca="false">IF(J135="",0,IF(J135&lt;Matriz!$B$14,Matriz!$C$13,IF(J135&lt;Matriz!$B$15,Matriz!$C$14,IF(J135&lt;Matriz!$B$16,Matriz!$C$15,Matriz!$C$16))))</f>
        <v>0</v>
      </c>
      <c r="M135" s="34" t="n">
        <f aca="false">IF(ISNUMBER(SEARCH("Seguridad",S135)),Matriz!$C$20,0)</f>
        <v>0</v>
      </c>
      <c r="N135" s="38" t="n">
        <f aca="false">K135+MIN(M135,Matriz!$C$24)</f>
        <v>100</v>
      </c>
      <c r="O135" s="39" t="s">
        <v>802</v>
      </c>
      <c r="P135" s="35" t="s">
        <v>803</v>
      </c>
      <c r="Q135" s="35" t="s">
        <v>803</v>
      </c>
      <c r="R135" s="40" t="s">
        <v>798</v>
      </c>
      <c r="S135" s="41" t="s">
        <v>187</v>
      </c>
      <c r="T135" s="1" t="s">
        <v>799</v>
      </c>
      <c r="U135" s="1"/>
    </row>
    <row r="136" customFormat="false" ht="14.25" hidden="false" customHeight="true" outlineLevel="0" collapsed="false">
      <c r="A136" s="34" t="n">
        <v>132</v>
      </c>
      <c r="B136" s="34" t="s">
        <v>665</v>
      </c>
      <c r="C136" s="34" t="s">
        <v>626</v>
      </c>
      <c r="D136" s="34" t="s">
        <v>804</v>
      </c>
      <c r="E136" s="34" t="s">
        <v>790</v>
      </c>
      <c r="F136" s="34" t="s">
        <v>106</v>
      </c>
      <c r="G136" s="35" t="s">
        <v>573</v>
      </c>
      <c r="H136" s="36" t="n">
        <v>1</v>
      </c>
      <c r="I136" s="36" t="n">
        <v>2</v>
      </c>
      <c r="J136" s="37"/>
      <c r="K136" s="34" t="n">
        <f aca="false">INDEX(Matriz!$C$7:$E$9,H136,I136)</f>
        <v>100</v>
      </c>
      <c r="L136" s="34" t="n">
        <f aca="false">IF(J136="",0,IF(J136&lt;Matriz!$B$14,Matriz!$C$13,IF(J136&lt;Matriz!$B$15,Matriz!$C$14,IF(J136&lt;Matriz!$B$16,Matriz!$C$15,Matriz!$C$16))))</f>
        <v>0</v>
      </c>
      <c r="M136" s="34" t="n">
        <f aca="false">IF(ISNUMBER(SEARCH("Seguridad",S136)),Matriz!$C$20,0)</f>
        <v>0</v>
      </c>
      <c r="N136" s="38" t="n">
        <f aca="false">K136+MIN(M136,Matriz!$C$24)</f>
        <v>100</v>
      </c>
      <c r="O136" s="39" t="s">
        <v>805</v>
      </c>
      <c r="P136" s="35" t="s">
        <v>806</v>
      </c>
      <c r="Q136" s="35" t="s">
        <v>806</v>
      </c>
      <c r="R136" s="40" t="s">
        <v>807</v>
      </c>
      <c r="S136" s="41" t="s">
        <v>573</v>
      </c>
      <c r="T136" s="1" t="s">
        <v>808</v>
      </c>
      <c r="U136" s="1"/>
    </row>
    <row r="139" customFormat="false" ht="14.25" hidden="false" customHeight="true" outlineLevel="0" collapsed="false">
      <c r="A139" s="1" t="s">
        <v>809</v>
      </c>
    </row>
  </sheetData>
  <autoFilter ref="A4:Q1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9" activeCellId="0" sqref="E29"/>
    </sheetView>
  </sheetViews>
  <sheetFormatPr defaultColWidth="8.66796875" defaultRowHeight="14.2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12"/>
    <col collapsed="false" customWidth="true" hidden="false" outlineLevel="0" max="4" min="4" style="1" width="10"/>
    <col collapsed="false" customWidth="true" hidden="false" outlineLevel="0" max="5" min="5" style="1" width="12"/>
    <col collapsed="false" customWidth="true" hidden="false" outlineLevel="0" max="6" min="6" style="1" width="9"/>
  </cols>
  <sheetData>
    <row r="1" customFormat="false" ht="17.25" hidden="false" customHeight="true" outlineLevel="0" collapsed="false">
      <c r="A1" s="2" t="s">
        <v>810</v>
      </c>
    </row>
    <row r="2" customFormat="false" ht="15" hidden="false" customHeight="true" outlineLevel="0" collapsed="false">
      <c r="A2" s="3" t="s">
        <v>811</v>
      </c>
    </row>
    <row r="4" customFormat="false" ht="15" hidden="false" customHeight="true" outlineLevel="0" collapsed="false">
      <c r="A4" s="6" t="s">
        <v>812</v>
      </c>
    </row>
    <row r="5" customFormat="false" ht="15" hidden="false" customHeight="true" outlineLevel="0" collapsed="false">
      <c r="A5" s="18" t="s">
        <v>31</v>
      </c>
      <c r="B5" s="18" t="s">
        <v>813</v>
      </c>
      <c r="C5" s="18" t="s">
        <v>814</v>
      </c>
      <c r="D5" s="18" t="s">
        <v>815</v>
      </c>
      <c r="E5" s="18" t="s">
        <v>816</v>
      </c>
      <c r="F5" s="18" t="s">
        <v>817</v>
      </c>
    </row>
    <row r="6" customFormat="false" ht="15" hidden="false" customHeight="true" outlineLevel="0" collapsed="false">
      <c r="A6" s="42" t="s">
        <v>51</v>
      </c>
      <c r="B6" s="42" t="n">
        <f aca="false">COUNTIFS(Evaluación!$E$5:$E$136,A6,Evaluación!$A$5:$A$136,"&gt;1")</f>
        <v>32</v>
      </c>
      <c r="C6" s="42" t="n">
        <f aca="false">SUMIFS(Evaluación!$N$5:$N$136,Evaluación!$E$5:$E$136,A6,Evaluación!$A$5:$A$136,"&gt;1")</f>
        <v>8050</v>
      </c>
      <c r="D6" s="42" t="n">
        <f aca="false">IF(B6=0,0,ROUND(C6/B6,0))</f>
        <v>252</v>
      </c>
      <c r="E6" s="43" t="n">
        <v>70</v>
      </c>
      <c r="F6" s="44" t="n">
        <f aca="false">IF(E6=0,0,B6/E6)</f>
        <v>0.457142857142857</v>
      </c>
    </row>
    <row r="7" customFormat="false" ht="15" hidden="false" customHeight="true" outlineLevel="0" collapsed="false">
      <c r="A7" s="42" t="s">
        <v>90</v>
      </c>
      <c r="B7" s="42" t="n">
        <f aca="false">COUNTIFS(Evaluación!$E$5:$E$136,A7,Evaluación!$A$5:$A$136,"&gt;1")</f>
        <v>38</v>
      </c>
      <c r="C7" s="42" t="n">
        <f aca="false">SUMIFS(Evaluación!$N$5:$N$136,Evaluación!$E$5:$E$136,A7,Evaluación!$A$5:$A$136,"&gt;1")</f>
        <v>11650</v>
      </c>
      <c r="D7" s="42" t="n">
        <f aca="false">IF(B7=0,0,ROUND(C7/B7,0))</f>
        <v>307</v>
      </c>
      <c r="E7" s="43" t="n">
        <v>70</v>
      </c>
      <c r="F7" s="44" t="n">
        <f aca="false">IF(E7=0,0,B7/E7)</f>
        <v>0.542857142857143</v>
      </c>
    </row>
    <row r="8" customFormat="false" ht="15" hidden="false" customHeight="true" outlineLevel="0" collapsed="false">
      <c r="A8" s="42" t="s">
        <v>73</v>
      </c>
      <c r="B8" s="42" t="n">
        <f aca="false">COUNTIFS(Evaluación!$E$5:$E$136,A8,Evaluación!$A$5:$A$136,"&gt;1")</f>
        <v>27</v>
      </c>
      <c r="C8" s="42" t="n">
        <f aca="false">SUMIFS(Evaluación!$N$5:$N$136,Evaluación!$E$5:$E$136,A8,Evaluación!$A$5:$A$136,"&gt;1")</f>
        <v>6800</v>
      </c>
      <c r="D8" s="42" t="n">
        <f aca="false">IF(B8=0,0,ROUND(C8/B8,0))</f>
        <v>252</v>
      </c>
      <c r="E8" s="43" t="n">
        <v>70</v>
      </c>
      <c r="F8" s="44" t="n">
        <f aca="false">IF(E8=0,0,B8/E8)</f>
        <v>0.385714285714286</v>
      </c>
    </row>
    <row r="9" customFormat="false" ht="15" hidden="false" customHeight="true" outlineLevel="0" collapsed="false">
      <c r="A9" s="42" t="s">
        <v>163</v>
      </c>
      <c r="B9" s="42" t="n">
        <f aca="false">COUNTIFS(Evaluación!$E$5:$E$136,A9,Evaluación!$A$5:$A$136,"&gt;1")</f>
        <v>19</v>
      </c>
      <c r="C9" s="42" t="n">
        <f aca="false">SUMIFS(Evaluación!$N$5:$N$136,Evaluación!$E$5:$E$136,A9,Evaluación!$A$5:$A$136,"&gt;1")</f>
        <v>4400</v>
      </c>
      <c r="D9" s="42" t="n">
        <f aca="false">IF(B9=0,0,ROUND(C9/B9,0))</f>
        <v>232</v>
      </c>
      <c r="E9" s="43" t="n">
        <v>70</v>
      </c>
      <c r="F9" s="44" t="n">
        <f aca="false">IF(E9=0,0,B9/E9)</f>
        <v>0.271428571428571</v>
      </c>
    </row>
    <row r="10" customFormat="false" ht="15" hidden="false" customHeight="true" outlineLevel="0" collapsed="false">
      <c r="A10" s="42" t="s">
        <v>818</v>
      </c>
      <c r="B10" s="42" t="n">
        <f aca="false">COUNTIFS(Evaluación!$E$5:$E$136,A10,Evaluación!$A$5:$A$136,"&gt;1")</f>
        <v>0</v>
      </c>
      <c r="C10" s="42" t="n">
        <f aca="false">SUMIFS(Evaluación!$N$5:$N$136,Evaluación!$E$5:$E$136,A10,Evaluación!$A$5:$A$136,"&gt;1")</f>
        <v>0</v>
      </c>
      <c r="D10" s="42" t="n">
        <f aca="false">IF(B10=0,0,ROUND(C10/B10,0))</f>
        <v>0</v>
      </c>
      <c r="E10" s="43" t="n">
        <v>70</v>
      </c>
      <c r="F10" s="44" t="n">
        <f aca="false">IF(E10=0,0,B10/E10)</f>
        <v>0</v>
      </c>
    </row>
    <row r="11" customFormat="false" ht="15" hidden="false" customHeight="true" outlineLevel="0" collapsed="false">
      <c r="A11" s="42" t="s">
        <v>61</v>
      </c>
      <c r="B11" s="42" t="n">
        <f aca="false">COUNTIFS(Evaluación!$E$5:$E$136,A11,Evaluación!$A$5:$A$136,"&gt;1")</f>
        <v>10</v>
      </c>
      <c r="C11" s="42" t="n">
        <f aca="false">SUMIFS(Evaluación!$N$5:$N$136,Evaluación!$E$5:$E$136,A11,Evaluación!$A$5:$A$136,"&gt;1")</f>
        <v>3400</v>
      </c>
      <c r="D11" s="42" t="n">
        <f aca="false">IF(B11=0,0,ROUND(C11/B11,0))</f>
        <v>340</v>
      </c>
      <c r="E11" s="43" t="n">
        <v>70</v>
      </c>
      <c r="F11" s="44" t="n">
        <f aca="false">IF(E11=0,0,B11/E11)</f>
        <v>0.142857142857143</v>
      </c>
    </row>
    <row r="12" customFormat="false" ht="15" hidden="false" customHeight="true" outlineLevel="0" collapsed="false">
      <c r="A12" s="6" t="s">
        <v>40</v>
      </c>
      <c r="B12" s="6" t="n">
        <f aca="false">SUM(B6:B11)</f>
        <v>126</v>
      </c>
      <c r="C12" s="45" t="n">
        <f aca="false">SUM(C6:C11)</f>
        <v>34300</v>
      </c>
      <c r="D12" s="6" t="n">
        <f aca="false">IF(B12=0,0,ROUND(C12/B12,0))</f>
        <v>272</v>
      </c>
      <c r="E12" s="6" t="n">
        <f aca="false">SUM(E6:E11)</f>
        <v>420</v>
      </c>
      <c r="F12" s="46" t="n">
        <f aca="false">IF(E12=0,0,B12/E12)</f>
        <v>0.3</v>
      </c>
    </row>
    <row r="13" customFormat="false" ht="15" hidden="false" customHeight="true" outlineLevel="0" collapsed="false">
      <c r="A13" s="3" t="s">
        <v>819</v>
      </c>
    </row>
    <row r="15" customFormat="false" ht="15" hidden="false" customHeight="true" outlineLevel="0" collapsed="false">
      <c r="A15" s="6" t="s">
        <v>820</v>
      </c>
    </row>
    <row r="16" customFormat="false" ht="15" hidden="false" customHeight="true" outlineLevel="0" collapsed="false">
      <c r="A16" s="18" t="s">
        <v>29</v>
      </c>
      <c r="B16" s="18" t="s">
        <v>813</v>
      </c>
      <c r="C16" s="18" t="s">
        <v>814</v>
      </c>
      <c r="D16" s="18" t="s">
        <v>815</v>
      </c>
      <c r="E16" s="18" t="s">
        <v>821</v>
      </c>
      <c r="F16" s="18" t="s">
        <v>817</v>
      </c>
    </row>
    <row r="17" customFormat="false" ht="15" hidden="false" customHeight="true" outlineLevel="0" collapsed="false">
      <c r="A17" s="42" t="s">
        <v>59</v>
      </c>
      <c r="B17" s="42" t="n">
        <f aca="false">COUNTIFS(Evaluación!$C$5:$C$136,A17,Evaluación!$A$5:$A$136,"&gt;1")</f>
        <v>2</v>
      </c>
      <c r="C17" s="42" t="n">
        <f aca="false">SUMIFS(Evaluación!$N$5:$N$136,Evaluación!$C$5:$C$136,A17,Evaluación!$A$5:$A$136,"&gt;1")</f>
        <v>900</v>
      </c>
      <c r="D17" s="42" t="n">
        <f aca="false">IF(B17=0,0,ROUND(C17/B17,0))</f>
        <v>450</v>
      </c>
      <c r="E17" s="43" t="n">
        <v>48</v>
      </c>
      <c r="F17" s="44" t="n">
        <f aca="false">IF(E17=0,0,B17/E17)</f>
        <v>0.0416666666666667</v>
      </c>
    </row>
    <row r="18" customFormat="false" ht="15" hidden="false" customHeight="true" outlineLevel="0" collapsed="false">
      <c r="A18" s="42" t="s">
        <v>49</v>
      </c>
      <c r="B18" s="42" t="n">
        <f aca="false">COUNTIFS(Evaluación!$C$5:$C$136,A18,Evaluación!$A$5:$A$136,"&gt;1")</f>
        <v>7</v>
      </c>
      <c r="C18" s="42" t="n">
        <f aca="false">SUMIFS(Evaluación!$N$5:$N$136,Evaluación!$C$5:$C$136,A18,Evaluación!$A$5:$A$136,"&gt;1")</f>
        <v>1550</v>
      </c>
      <c r="D18" s="42" t="n">
        <f aca="false">IF(B18=0,0,ROUND(C18/B18,0))</f>
        <v>221</v>
      </c>
      <c r="E18" s="43" t="n">
        <v>48</v>
      </c>
      <c r="F18" s="44" t="n">
        <f aca="false">IF(E18=0,0,B18/E18)</f>
        <v>0.145833333333333</v>
      </c>
    </row>
    <row r="19" customFormat="false" ht="15" hidden="false" customHeight="true" outlineLevel="0" collapsed="false">
      <c r="A19" s="42" t="s">
        <v>104</v>
      </c>
      <c r="B19" s="42" t="n">
        <f aca="false">COUNTIFS(Evaluación!$C$5:$C$136,A19,Evaluación!$A$5:$A$136,"&gt;1")</f>
        <v>14</v>
      </c>
      <c r="C19" s="42" t="n">
        <f aca="false">SUMIFS(Evaluación!$N$5:$N$136,Evaluación!$C$5:$C$136,A19,Evaluación!$A$5:$A$136,"&gt;1")</f>
        <v>4050</v>
      </c>
      <c r="D19" s="42" t="n">
        <f aca="false">IF(B19=0,0,ROUND(C19/B19,0))</f>
        <v>289</v>
      </c>
      <c r="E19" s="43" t="n">
        <v>48</v>
      </c>
      <c r="F19" s="44" t="n">
        <f aca="false">IF(E19=0,0,B19/E19)</f>
        <v>0.291666666666667</v>
      </c>
    </row>
    <row r="20" customFormat="false" ht="15" hidden="false" customHeight="true" outlineLevel="0" collapsed="false">
      <c r="A20" s="42" t="s">
        <v>113</v>
      </c>
      <c r="B20" s="42" t="n">
        <f aca="false">COUNTIFS(Evaluación!$C$5:$C$136,A20,Evaluación!$A$5:$A$136,"&gt;1")</f>
        <v>43</v>
      </c>
      <c r="C20" s="42" t="n">
        <f aca="false">SUMIFS(Evaluación!$N$5:$N$136,Evaluación!$C$5:$C$136,A20,Evaluación!$A$5:$A$136,"&gt;1")</f>
        <v>12200</v>
      </c>
      <c r="D20" s="42" t="n">
        <f aca="false">IF(B20=0,0,ROUND(C20/B20,0))</f>
        <v>284</v>
      </c>
      <c r="E20" s="43" t="n">
        <v>48</v>
      </c>
      <c r="F20" s="44" t="n">
        <f aca="false">IF(E20=0,0,B20/E20)</f>
        <v>0.895833333333333</v>
      </c>
    </row>
    <row r="21" customFormat="false" ht="15" hidden="false" customHeight="true" outlineLevel="0" collapsed="false">
      <c r="A21" s="42" t="s">
        <v>358</v>
      </c>
      <c r="B21" s="42" t="n">
        <f aca="false">COUNTIFS(Evaluación!$C$5:$C$136,A21,Evaluación!$A$5:$A$136,"&gt;1")</f>
        <v>34</v>
      </c>
      <c r="C21" s="42" t="n">
        <f aca="false">SUMIFS(Evaluación!$N$5:$N$136,Evaluación!$C$5:$C$136,A21,Evaluación!$A$5:$A$136,"&gt;1")</f>
        <v>10150</v>
      </c>
      <c r="D21" s="42" t="n">
        <f aca="false">IF(B21=0,0,ROUND(C21/B21,0))</f>
        <v>299</v>
      </c>
      <c r="E21" s="43" t="n">
        <v>48</v>
      </c>
      <c r="F21" s="44" t="n">
        <f aca="false">IF(E21=0,0,B21/E21)</f>
        <v>0.708333333333333</v>
      </c>
    </row>
    <row r="22" customFormat="false" ht="15" hidden="false" customHeight="true" outlineLevel="0" collapsed="false">
      <c r="A22" s="42" t="s">
        <v>626</v>
      </c>
      <c r="B22" s="42" t="n">
        <f aca="false">COUNTIFS(Evaluación!$C$5:$C$136,A22,Evaluación!$A$5:$A$136,"&gt;1")</f>
        <v>28</v>
      </c>
      <c r="C22" s="42" t="n">
        <f aca="false">SUMIFS(Evaluación!$N$5:$N$136,Evaluación!$C$5:$C$136,A22,Evaluación!$A$5:$A$136,"&gt;1")</f>
        <v>5550</v>
      </c>
      <c r="D22" s="42" t="n">
        <f aca="false">IF(B22=0,0,ROUND(C22/B22,0))</f>
        <v>198</v>
      </c>
      <c r="E22" s="43" t="n">
        <v>48</v>
      </c>
      <c r="F22" s="44" t="n">
        <f aca="false">IF(E22=0,0,B22/E22)</f>
        <v>0.583333333333333</v>
      </c>
    </row>
    <row r="23" customFormat="false" ht="15" hidden="false" customHeight="true" outlineLevel="0" collapsed="false">
      <c r="A23" s="3" t="s">
        <v>822</v>
      </c>
    </row>
    <row r="26" customFormat="false" ht="15" hidden="false" customHeight="true" outlineLevel="0" collapsed="false">
      <c r="A26" s="6" t="s">
        <v>823</v>
      </c>
    </row>
    <row r="27" customFormat="false" ht="15" hidden="false" customHeight="true" outlineLevel="0" collapsed="false">
      <c r="A27" s="18" t="s">
        <v>32</v>
      </c>
      <c r="B27" s="18" t="s">
        <v>813</v>
      </c>
      <c r="C27" s="18" t="s">
        <v>814</v>
      </c>
      <c r="D27" s="18" t="s">
        <v>815</v>
      </c>
      <c r="E27" s="18" t="s">
        <v>824</v>
      </c>
      <c r="F27" s="18" t="s">
        <v>817</v>
      </c>
    </row>
    <row r="28" customFormat="false" ht="15" hidden="false" customHeight="true" outlineLevel="0" collapsed="false">
      <c r="A28" s="42" t="s">
        <v>74</v>
      </c>
      <c r="B28" s="42" t="n">
        <f aca="false">COUNTIFS(Evaluación!$F$5:$F$136,A28,Evaluación!$A$5:$A$136,"&gt;1")</f>
        <v>21</v>
      </c>
      <c r="C28" s="42" t="n">
        <f aca="false">SUMIFS(Evaluación!$N$5:$N$136,Evaluación!$F$5:$F$136,A28,Evaluación!$A$5:$A$136,"&gt;1")</f>
        <v>4350</v>
      </c>
      <c r="D28" s="42" t="n">
        <f aca="false">IF(B28=0,0,ROUND(C28/B28,0))</f>
        <v>207</v>
      </c>
      <c r="E28" s="43" t="n">
        <v>72</v>
      </c>
      <c r="F28" s="44" t="n">
        <f aca="false">IF(E28=0,0,B28/E28)</f>
        <v>0.291666666666667</v>
      </c>
    </row>
    <row r="29" customFormat="false" ht="15" hidden="false" customHeight="true" outlineLevel="0" collapsed="false">
      <c r="A29" s="42" t="s">
        <v>99</v>
      </c>
      <c r="B29" s="42" t="n">
        <f aca="false">COUNTIFS(Evaluación!$F$5:$F$136,A29,Evaluación!$A$5:$A$136,"&gt;1")</f>
        <v>14</v>
      </c>
      <c r="C29" s="42" t="n">
        <f aca="false">SUMIFS(Evaluación!$N$5:$N$136,Evaluación!$F$5:$F$136,A29,Evaluación!$A$5:$A$136,"&gt;1")</f>
        <v>3250</v>
      </c>
      <c r="D29" s="42" t="n">
        <f aca="false">IF(B29=0,0,ROUND(C29/B29,0))</f>
        <v>232</v>
      </c>
      <c r="E29" s="43" t="n">
        <v>72</v>
      </c>
      <c r="F29" s="44" t="n">
        <f aca="false">IF(E29=0,0,B29/E29)</f>
        <v>0.194444444444444</v>
      </c>
    </row>
    <row r="30" customFormat="false" ht="15" hidden="false" customHeight="true" outlineLevel="0" collapsed="false">
      <c r="A30" s="42" t="s">
        <v>173</v>
      </c>
      <c r="B30" s="42" t="n">
        <f aca="false">COUNTIFS(Evaluación!$F$5:$F$136,A30,Evaluación!$A$5:$A$136,"&gt;1")</f>
        <v>18</v>
      </c>
      <c r="C30" s="42" t="n">
        <f aca="false">SUMIFS(Evaluación!$N$5:$N$136,Evaluación!$F$5:$F$136,A30,Evaluación!$A$5:$A$136,"&gt;1")</f>
        <v>4550</v>
      </c>
      <c r="D30" s="42" t="n">
        <f aca="false">IF(B30=0,0,ROUND(C30/B30,0))</f>
        <v>253</v>
      </c>
      <c r="E30" s="43" t="n">
        <v>72</v>
      </c>
      <c r="F30" s="44" t="n">
        <f aca="false">IF(E30=0,0,B30/E30)</f>
        <v>0.25</v>
      </c>
    </row>
    <row r="31" customFormat="false" ht="15" hidden="false" customHeight="true" outlineLevel="0" collapsed="false">
      <c r="A31" s="42" t="s">
        <v>132</v>
      </c>
      <c r="B31" s="42" t="n">
        <f aca="false">COUNTIFS(Evaluación!$F$5:$F$136,A31,Evaluación!$A$5:$A$136,"&gt;1")</f>
        <v>15</v>
      </c>
      <c r="C31" s="42" t="n">
        <f aca="false">SUMIFS(Evaluación!$N$5:$N$136,Evaluación!$F$5:$F$136,A31,Evaluación!$A$5:$A$136,"&gt;1")</f>
        <v>2500</v>
      </c>
      <c r="D31" s="42" t="n">
        <f aca="false">IF(B31=0,0,ROUND(C31/B31,0))</f>
        <v>167</v>
      </c>
      <c r="E31" s="43" t="n">
        <v>72</v>
      </c>
      <c r="F31" s="44" t="n">
        <f aca="false">IF(E31=0,0,B31/E31)</f>
        <v>0.208333333333333</v>
      </c>
    </row>
    <row r="32" customFormat="false" ht="15" hidden="false" customHeight="true" outlineLevel="0" collapsed="false">
      <c r="A32" s="42" t="s">
        <v>257</v>
      </c>
      <c r="B32" s="42" t="n">
        <f aca="false">COUNTIFS(Evaluación!$F$5:$F$136,A32,Evaluación!$A$5:$A$136,"&gt;1")</f>
        <v>13</v>
      </c>
      <c r="C32" s="42" t="n">
        <f aca="false">SUMIFS(Evaluación!$N$5:$N$136,Evaluación!$F$5:$F$136,A32,Evaluación!$A$5:$A$136,"&gt;1")</f>
        <v>4700</v>
      </c>
      <c r="D32" s="42" t="n">
        <f aca="false">IF(B32=0,0,ROUND(C32/B32,0))</f>
        <v>362</v>
      </c>
      <c r="E32" s="43" t="n">
        <v>72</v>
      </c>
      <c r="F32" s="44" t="n">
        <f aca="false">IF(E32=0,0,B32/E32)</f>
        <v>0.180555555555556</v>
      </c>
    </row>
    <row r="33" customFormat="false" ht="15" hidden="false" customHeight="true" outlineLevel="0" collapsed="false">
      <c r="A33" s="42" t="s">
        <v>140</v>
      </c>
      <c r="B33" s="42" t="n">
        <f aca="false">COUNTIFS(Evaluación!$F$5:$F$136,A33,Evaluación!$A$5:$A$136,"&gt;1")</f>
        <v>11</v>
      </c>
      <c r="C33" s="42" t="n">
        <f aca="false">SUMIFS(Evaluación!$N$5:$N$136,Evaluación!$F$5:$F$136,A33,Evaluación!$A$5:$A$136,"&gt;1")</f>
        <v>4200</v>
      </c>
      <c r="D33" s="42" t="n">
        <f aca="false">IF(B33=0,0,ROUND(C33/B33,0))</f>
        <v>382</v>
      </c>
      <c r="E33" s="43" t="n">
        <v>72</v>
      </c>
      <c r="F33" s="44" t="n">
        <f aca="false">IF(E33=0,0,B33/E33)</f>
        <v>0.152777777777778</v>
      </c>
    </row>
    <row r="34" customFormat="false" ht="15" hidden="false" customHeight="true" outlineLevel="0" collapsed="false">
      <c r="A34" s="42" t="s">
        <v>106</v>
      </c>
      <c r="B34" s="42" t="n">
        <f aca="false">COUNTIFS(Evaluación!$F$5:$F$136,A34,Evaluación!$A$5:$A$136,"&gt;1")</f>
        <v>17</v>
      </c>
      <c r="C34" s="42" t="n">
        <f aca="false">SUMIFS(Evaluación!$N$5:$N$136,Evaluación!$F$5:$F$136,A34,Evaluación!$A$5:$A$136,"&gt;1")</f>
        <v>4750</v>
      </c>
      <c r="D34" s="42" t="n">
        <f aca="false">IF(B34=0,0,ROUND(C34/B34,0))</f>
        <v>279</v>
      </c>
      <c r="E34" s="43" t="n">
        <v>72</v>
      </c>
      <c r="F34" s="44" t="n">
        <f aca="false">IF(E34=0,0,B34/E34)</f>
        <v>0.236111111111111</v>
      </c>
    </row>
    <row r="35" customFormat="false" ht="15" hidden="false" customHeight="true" outlineLevel="0" collapsed="false">
      <c r="A35" s="42" t="s">
        <v>248</v>
      </c>
      <c r="B35" s="42" t="n">
        <f aca="false">COUNTIFS(Evaluación!$F$5:$F$136,A35,Evaluación!$A$5:$A$136,"&gt;1")</f>
        <v>11</v>
      </c>
      <c r="C35" s="42" t="n">
        <f aca="false">SUMIFS(Evaluación!$N$5:$N$136,Evaluación!$F$5:$F$136,A35,Evaluación!$A$5:$A$136,"&gt;1")</f>
        <v>2850</v>
      </c>
      <c r="D35" s="42" t="n">
        <f aca="false">IF(B35=0,0,ROUND(C35/B35,0))</f>
        <v>259</v>
      </c>
      <c r="E35" s="43" t="n">
        <v>72</v>
      </c>
      <c r="F35" s="44" t="n">
        <f aca="false">IF(E35=0,0,B35/E35)</f>
        <v>0.152777777777778</v>
      </c>
    </row>
    <row r="36" customFormat="false" ht="15" hidden="false" customHeight="true" outlineLevel="0" collapsed="false">
      <c r="A36" s="42" t="s">
        <v>83</v>
      </c>
      <c r="B36" s="42" t="n">
        <f aca="false">COUNTIFS(Evaluación!$F$5:$F$136,A36,Evaluación!$A$5:$A$136,"&gt;1")</f>
        <v>5</v>
      </c>
      <c r="C36" s="42" t="n">
        <f aca="false">SUMIFS(Evaluación!$N$5:$N$136,Evaluación!$F$5:$F$136,A36,Evaluación!$A$5:$A$136,"&gt;1")</f>
        <v>2250</v>
      </c>
      <c r="D36" s="42" t="n">
        <f aca="false">IF(B36=0,0,ROUND(C36/B36,0))</f>
        <v>450</v>
      </c>
      <c r="E36" s="43" t="n">
        <v>72</v>
      </c>
      <c r="F36" s="44" t="n">
        <f aca="false">IF(E36=0,0,B36/E36)</f>
        <v>0.0694444444444445</v>
      </c>
    </row>
    <row r="37" customFormat="false" ht="15" hidden="false" customHeight="true" outlineLevel="0" collapsed="false">
      <c r="A37" s="42" t="s">
        <v>502</v>
      </c>
      <c r="B37" s="42" t="n">
        <f aca="false">COUNTIFS(Evaluación!$F$5:$F$136,A37,Evaluación!$A$5:$A$136,"&gt;1")</f>
        <v>3</v>
      </c>
      <c r="C37" s="42" t="n">
        <f aca="false">SUMIFS(Evaluación!$N$5:$N$136,Evaluación!$F$5:$F$136,A37,Evaluación!$A$5:$A$136,"&gt;1")</f>
        <v>600</v>
      </c>
      <c r="D37" s="42" t="n">
        <f aca="false">IF(B37=0,0,ROUND(C37/B37,0))</f>
        <v>200</v>
      </c>
      <c r="E37" s="43" t="n">
        <v>72</v>
      </c>
      <c r="F37" s="44" t="n">
        <f aca="false">IF(E37=0,0,B37/E37)</f>
        <v>0.0416666666666667</v>
      </c>
    </row>
    <row r="38" customFormat="false" ht="15" hidden="false" customHeight="true" outlineLevel="0" collapsed="false">
      <c r="A38" s="42" t="s">
        <v>62</v>
      </c>
      <c r="B38" s="42" t="n">
        <f aca="false">COUNTIFS(Evaluación!$F$5:$F$136,A38,Evaluación!$A$5:$A$136,"&gt;1")</f>
        <v>2</v>
      </c>
      <c r="C38" s="42" t="n">
        <f aca="false">SUMIFS(Evaluación!$N$5:$N$136,Evaluación!$F$5:$F$136,A38,Evaluación!$A$5:$A$136,"&gt;1")</f>
        <v>750</v>
      </c>
      <c r="D38" s="42" t="n">
        <f aca="false">IF(B38=0,0,ROUND(C38/B38,0))</f>
        <v>375</v>
      </c>
      <c r="E38" s="43" t="n">
        <v>72</v>
      </c>
      <c r="F38" s="44" t="n">
        <f aca="false">IF(E38=0,0,B38/E38)</f>
        <v>0.0277777777777778</v>
      </c>
    </row>
    <row r="39" customFormat="false" ht="15" hidden="false" customHeight="true" outlineLevel="0" collapsed="false">
      <c r="A39" s="42" t="s">
        <v>240</v>
      </c>
      <c r="B39" s="42" t="n">
        <f aca="false">COUNTIFS(Evaluación!$F$5:$F$136,A39,Evaluación!$A$5:$A$136,"&gt;1")</f>
        <v>1</v>
      </c>
      <c r="C39" s="42" t="n">
        <f aca="false">SUMIFS(Evaluación!$N$5:$N$136,Evaluación!$F$5:$F$136,A39,Evaluación!$A$5:$A$136,"&gt;1")</f>
        <v>400</v>
      </c>
      <c r="D39" s="42" t="n">
        <f aca="false">IF(B39=0,0,ROUND(C39/B39,0))</f>
        <v>400</v>
      </c>
      <c r="E39" s="43" t="n">
        <v>72</v>
      </c>
      <c r="F39" s="44" t="n">
        <f aca="false">IF(E39=0,0,B39/E39)</f>
        <v>0.0138888888888889</v>
      </c>
    </row>
    <row r="40" customFormat="false" ht="15" hidden="false" customHeight="true" outlineLevel="0" collapsed="false">
      <c r="A40" s="3" t="s">
        <v>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K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E38" activeCellId="0" sqref="E38"/>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11"/>
    <col collapsed="false" customWidth="true" hidden="false" outlineLevel="0" max="4" min="4" style="1" width="26"/>
    <col collapsed="false" customWidth="true" hidden="false" outlineLevel="0" max="6" min="5" style="1" width="12"/>
    <col collapsed="false" customWidth="true" hidden="false" outlineLevel="0" max="7" min="7" style="1" width="18"/>
    <col collapsed="false" customWidth="true" hidden="false" outlineLevel="0" max="8" min="8" style="1" width="14"/>
    <col collapsed="false" customWidth="true" hidden="false" outlineLevel="0" max="9" min="9" style="1" width="11"/>
    <col collapsed="false" customWidth="true" hidden="false" outlineLevel="0" max="10" min="10" style="1" width="26"/>
    <col collapsed="false" customWidth="true" hidden="false" outlineLevel="0" max="11" min="11" style="1" width="52"/>
  </cols>
  <sheetData>
    <row r="1" customFormat="false" ht="17.25" hidden="false" customHeight="true" outlineLevel="0" collapsed="false">
      <c r="A1" s="2" t="s">
        <v>826</v>
      </c>
    </row>
    <row r="2" customFormat="false" ht="11.25" hidden="false" customHeight="true" outlineLevel="0" collapsed="false">
      <c r="A2" s="3"/>
    </row>
    <row r="3" customFormat="false" ht="14.25" hidden="true" customHeight="true" outlineLevel="0" collapsed="false"/>
    <row r="4" customFormat="false" ht="14.25" hidden="false" customHeight="true" outlineLevel="0" collapsed="false">
      <c r="A4" s="6" t="s">
        <v>827</v>
      </c>
    </row>
    <row r="5" customFormat="false" ht="14.25" hidden="false" customHeight="true" outlineLevel="0" collapsed="false">
      <c r="A5" s="14" t="s">
        <v>828</v>
      </c>
      <c r="D5" s="47" t="n">
        <v>12</v>
      </c>
      <c r="E5" s="48" t="n">
        <v>0.131868131868132</v>
      </c>
    </row>
    <row r="6" customFormat="false" ht="14.25" hidden="false" customHeight="true" outlineLevel="0" collapsed="false">
      <c r="A6" s="14" t="s">
        <v>829</v>
      </c>
      <c r="D6" s="49" t="n">
        <v>29</v>
      </c>
      <c r="E6" s="48" t="n">
        <v>0.318681318681319</v>
      </c>
    </row>
    <row r="7" customFormat="false" ht="14.25" hidden="false" customHeight="true" outlineLevel="0" collapsed="false">
      <c r="A7" s="14" t="s">
        <v>830</v>
      </c>
      <c r="D7" s="50" t="n">
        <v>42</v>
      </c>
      <c r="E7" s="48" t="n">
        <v>0.461538461538462</v>
      </c>
    </row>
    <row r="8" customFormat="false" ht="14.25" hidden="false" customHeight="true" outlineLevel="0" collapsed="false">
      <c r="A8" s="14" t="s">
        <v>831</v>
      </c>
      <c r="D8" s="51" t="n">
        <v>8</v>
      </c>
      <c r="E8" s="48" t="n">
        <v>0.0879120879120879</v>
      </c>
    </row>
    <row r="9" customFormat="false" ht="14.25" hidden="false" customHeight="true" outlineLevel="0" collapsed="false">
      <c r="A9" s="6" t="s">
        <v>40</v>
      </c>
      <c r="D9" s="6" t="n">
        <v>91</v>
      </c>
    </row>
    <row r="10" customFormat="false" ht="9" hidden="false" customHeight="true" outlineLevel="0" collapsed="false"/>
    <row r="11" customFormat="false" ht="14.25" hidden="false" customHeight="true" outlineLevel="0" collapsed="false">
      <c r="A11" s="14" t="s">
        <v>832</v>
      </c>
      <c r="D11" s="52" t="n">
        <v>87</v>
      </c>
    </row>
    <row r="12" customFormat="false" ht="14.25" hidden="false" customHeight="true" outlineLevel="0" collapsed="false">
      <c r="A12" s="14" t="s">
        <v>833</v>
      </c>
      <c r="D12" s="52" t="n">
        <v>64</v>
      </c>
    </row>
    <row r="13" customFormat="false" ht="14.25" hidden="false" customHeight="true" outlineLevel="0" collapsed="false">
      <c r="A13" s="14" t="s">
        <v>834</v>
      </c>
      <c r="D13" s="52" t="n">
        <v>12</v>
      </c>
    </row>
    <row r="14" customFormat="false" ht="13.5" hidden="false" customHeight="true" outlineLevel="0" collapsed="false">
      <c r="A14" s="14" t="s">
        <v>835</v>
      </c>
      <c r="D14" s="52" t="n">
        <v>1</v>
      </c>
    </row>
    <row r="15" customFormat="false" ht="14.25" hidden="true" customHeight="true" outlineLevel="0" collapsed="false"/>
    <row r="16" customFormat="false" ht="14.25" hidden="true" customHeight="true" outlineLevel="0" collapsed="false"/>
    <row r="17" customFormat="false" ht="14.25" hidden="false" customHeight="true" outlineLevel="0" collapsed="false">
      <c r="A17" s="6" t="s">
        <v>836</v>
      </c>
    </row>
    <row r="18" customFormat="false" ht="14.25" hidden="false" customHeight="true" outlineLevel="0" collapsed="false">
      <c r="A18" s="19" t="s">
        <v>27</v>
      </c>
      <c r="B18" s="19" t="s">
        <v>837</v>
      </c>
      <c r="C18" s="19" t="s">
        <v>31</v>
      </c>
      <c r="D18" s="19" t="s">
        <v>838</v>
      </c>
      <c r="E18" s="19" t="s">
        <v>839</v>
      </c>
      <c r="F18" s="19" t="s">
        <v>840</v>
      </c>
      <c r="G18" s="19" t="s">
        <v>841</v>
      </c>
      <c r="H18" s="19" t="s">
        <v>842</v>
      </c>
      <c r="I18" s="19" t="s">
        <v>843</v>
      </c>
      <c r="J18" s="19" t="s">
        <v>844</v>
      </c>
      <c r="K18" s="19" t="s">
        <v>845</v>
      </c>
    </row>
    <row r="19" customFormat="false" ht="14.25" hidden="false" customHeight="true" outlineLevel="0" collapsed="false">
      <c r="A19" s="42" t="n">
        <v>40</v>
      </c>
      <c r="B19" s="42" t="s">
        <v>82</v>
      </c>
      <c r="C19" s="42" t="s">
        <v>163</v>
      </c>
      <c r="D19" s="53" t="s">
        <v>846</v>
      </c>
      <c r="E19" s="54" t="n">
        <v>474000</v>
      </c>
      <c r="F19" s="54" t="n">
        <v>552000</v>
      </c>
      <c r="G19" s="55" t="s">
        <v>847</v>
      </c>
      <c r="H19" s="55" t="s">
        <v>848</v>
      </c>
      <c r="I19" s="55" t="s">
        <v>849</v>
      </c>
      <c r="J19" s="56"/>
      <c r="K19" s="56" t="s">
        <v>332</v>
      </c>
    </row>
    <row r="20" customFormat="false" ht="14.25" hidden="false" customHeight="true" outlineLevel="0" collapsed="false">
      <c r="A20" s="42" t="n">
        <v>88</v>
      </c>
      <c r="B20" s="42" t="s">
        <v>82</v>
      </c>
      <c r="C20" s="42" t="s">
        <v>73</v>
      </c>
      <c r="D20" s="53" t="s">
        <v>846</v>
      </c>
      <c r="E20" s="54" t="n">
        <v>438000</v>
      </c>
      <c r="F20" s="54" t="n">
        <v>510000</v>
      </c>
      <c r="G20" s="55" t="s">
        <v>847</v>
      </c>
      <c r="H20" s="55" t="s">
        <v>848</v>
      </c>
      <c r="I20" s="55" t="s">
        <v>849</v>
      </c>
      <c r="J20" s="56"/>
      <c r="K20" s="56" t="s">
        <v>604</v>
      </c>
    </row>
    <row r="21" customFormat="false" ht="14.25" hidden="true" customHeight="true" outlineLevel="0" collapsed="false">
      <c r="A21" s="42" t="n">
        <v>96</v>
      </c>
      <c r="B21" s="42" t="s">
        <v>640</v>
      </c>
      <c r="C21" s="42" t="s">
        <v>90</v>
      </c>
      <c r="D21" s="53" t="s">
        <v>846</v>
      </c>
      <c r="E21" s="54" t="n">
        <v>437483.41</v>
      </c>
      <c r="F21" s="54" t="n">
        <v>115868.45</v>
      </c>
      <c r="G21" s="55" t="s">
        <v>850</v>
      </c>
      <c r="H21" s="55" t="s">
        <v>848</v>
      </c>
      <c r="I21" s="55" t="s">
        <v>849</v>
      </c>
      <c r="J21" s="56" t="s">
        <v>851</v>
      </c>
      <c r="K21" s="56" t="s">
        <v>643</v>
      </c>
    </row>
    <row r="22" customFormat="false" ht="14.25" hidden="true" customHeight="true" outlineLevel="0" collapsed="false">
      <c r="A22" s="42" t="n">
        <v>91</v>
      </c>
      <c r="B22" s="42" t="s">
        <v>409</v>
      </c>
      <c r="C22" s="42" t="s">
        <v>73</v>
      </c>
      <c r="D22" s="53" t="s">
        <v>846</v>
      </c>
      <c r="E22" s="54" t="n">
        <v>130000</v>
      </c>
      <c r="F22" s="54" t="n">
        <v>550</v>
      </c>
      <c r="G22" s="55" t="s">
        <v>852</v>
      </c>
      <c r="H22" s="55" t="s">
        <v>848</v>
      </c>
      <c r="I22" s="55" t="s">
        <v>849</v>
      </c>
      <c r="J22" s="56"/>
      <c r="K22" s="56" t="s">
        <v>616</v>
      </c>
    </row>
    <row r="23" customFormat="false" ht="14.25" hidden="true" customHeight="true" outlineLevel="0" collapsed="false">
      <c r="A23" s="42" t="n">
        <v>43</v>
      </c>
      <c r="B23" s="42" t="s">
        <v>172</v>
      </c>
      <c r="C23" s="42" t="s">
        <v>90</v>
      </c>
      <c r="D23" s="53" t="s">
        <v>846</v>
      </c>
      <c r="E23" s="54" t="n">
        <v>25000</v>
      </c>
      <c r="F23" s="54"/>
      <c r="G23" s="55" t="s">
        <v>852</v>
      </c>
      <c r="H23" s="55" t="s">
        <v>848</v>
      </c>
      <c r="I23" s="55" t="s">
        <v>849</v>
      </c>
      <c r="J23" s="56"/>
      <c r="K23" s="56" t="s">
        <v>351</v>
      </c>
    </row>
    <row r="24" customFormat="false" ht="14.25" hidden="true" customHeight="true" outlineLevel="0" collapsed="false">
      <c r="A24" s="42" t="n">
        <v>55</v>
      </c>
      <c r="B24" s="42" t="s">
        <v>422</v>
      </c>
      <c r="C24" s="42" t="s">
        <v>73</v>
      </c>
      <c r="D24" s="53" t="s">
        <v>846</v>
      </c>
      <c r="E24" s="54" t="n">
        <v>15800</v>
      </c>
      <c r="F24" s="54" t="n">
        <v>1000</v>
      </c>
      <c r="G24" s="55"/>
      <c r="H24" s="55" t="s">
        <v>848</v>
      </c>
      <c r="I24" s="55" t="s">
        <v>849</v>
      </c>
      <c r="J24" s="56" t="s">
        <v>853</v>
      </c>
      <c r="K24" s="56" t="s">
        <v>424</v>
      </c>
    </row>
    <row r="25" customFormat="false" ht="14.25" hidden="true" customHeight="true" outlineLevel="0" collapsed="false">
      <c r="A25" s="42" t="n">
        <v>70</v>
      </c>
      <c r="B25" s="42" t="s">
        <v>498</v>
      </c>
      <c r="C25" s="42" t="s">
        <v>51</v>
      </c>
      <c r="D25" s="53" t="s">
        <v>846</v>
      </c>
      <c r="E25" s="54" t="n">
        <v>14000</v>
      </c>
      <c r="F25" s="54" t="n">
        <v>0</v>
      </c>
      <c r="G25" s="55" t="s">
        <v>854</v>
      </c>
      <c r="H25" s="55" t="s">
        <v>848</v>
      </c>
      <c r="I25" s="55" t="s">
        <v>855</v>
      </c>
      <c r="J25" s="56"/>
      <c r="K25" s="56" t="s">
        <v>500</v>
      </c>
    </row>
    <row r="26" customFormat="false" ht="14.25" hidden="true" customHeight="true" outlineLevel="0" collapsed="false">
      <c r="A26" s="42" t="n">
        <v>7</v>
      </c>
      <c r="B26" s="42" t="s">
        <v>109</v>
      </c>
      <c r="C26" s="42" t="s">
        <v>51</v>
      </c>
      <c r="D26" s="53" t="s">
        <v>846</v>
      </c>
      <c r="E26" s="54" t="n">
        <v>4166.96</v>
      </c>
      <c r="F26" s="54" t="n">
        <v>0</v>
      </c>
      <c r="G26" s="55" t="s">
        <v>856</v>
      </c>
      <c r="H26" s="55" t="s">
        <v>848</v>
      </c>
      <c r="I26" s="55" t="s">
        <v>855</v>
      </c>
      <c r="J26" s="56"/>
      <c r="K26" s="56" t="s">
        <v>110</v>
      </c>
    </row>
    <row r="27" customFormat="false" ht="21" hidden="true" customHeight="true" outlineLevel="0" collapsed="false">
      <c r="A27" s="42" t="n">
        <v>97</v>
      </c>
      <c r="B27" s="42" t="s">
        <v>647</v>
      </c>
      <c r="C27" s="42" t="s">
        <v>51</v>
      </c>
      <c r="D27" s="53" t="s">
        <v>846</v>
      </c>
      <c r="E27" s="54" t="n">
        <v>499.25</v>
      </c>
      <c r="F27" s="54"/>
      <c r="G27" s="55" t="s">
        <v>857</v>
      </c>
      <c r="H27" s="55" t="s">
        <v>848</v>
      </c>
      <c r="I27" s="55" t="s">
        <v>849</v>
      </c>
      <c r="J27" s="57" t="s">
        <v>858</v>
      </c>
      <c r="K27" s="56" t="s">
        <v>648</v>
      </c>
    </row>
    <row r="28" customFormat="false" ht="14.25" hidden="true" customHeight="true" outlineLevel="0" collapsed="false">
      <c r="A28" s="42" t="n">
        <v>87</v>
      </c>
      <c r="B28" s="42" t="s">
        <v>598</v>
      </c>
      <c r="C28" s="42" t="s">
        <v>73</v>
      </c>
      <c r="D28" s="53" t="s">
        <v>846</v>
      </c>
      <c r="E28" s="54" t="n">
        <v>460.89</v>
      </c>
      <c r="F28" s="54" t="n">
        <v>0</v>
      </c>
      <c r="G28" s="55" t="s">
        <v>859</v>
      </c>
      <c r="H28" s="55" t="s">
        <v>848</v>
      </c>
      <c r="I28" s="55" t="s">
        <v>849</v>
      </c>
      <c r="J28" s="56"/>
      <c r="K28" s="56" t="s">
        <v>599</v>
      </c>
    </row>
    <row r="29" customFormat="false" ht="14.25" hidden="true" customHeight="true" outlineLevel="0" collapsed="false">
      <c r="A29" s="42" t="n">
        <v>28</v>
      </c>
      <c r="B29" s="42" t="s">
        <v>109</v>
      </c>
      <c r="C29" s="42" t="s">
        <v>51</v>
      </c>
      <c r="D29" s="53" t="s">
        <v>846</v>
      </c>
      <c r="E29" s="54" t="n">
        <v>430</v>
      </c>
      <c r="F29" s="54" t="n">
        <v>0</v>
      </c>
      <c r="G29" s="55" t="s">
        <v>860</v>
      </c>
      <c r="H29" s="55" t="s">
        <v>848</v>
      </c>
      <c r="I29" s="55" t="s">
        <v>855</v>
      </c>
      <c r="J29" s="56"/>
      <c r="K29" s="56" t="s">
        <v>268</v>
      </c>
    </row>
    <row r="30" customFormat="false" ht="14.25" hidden="true" customHeight="true" outlineLevel="0" collapsed="false">
      <c r="A30" s="42" t="n">
        <v>94</v>
      </c>
      <c r="B30" s="42" t="s">
        <v>231</v>
      </c>
      <c r="C30" s="42" t="s">
        <v>51</v>
      </c>
      <c r="D30" s="53" t="s">
        <v>846</v>
      </c>
      <c r="E30" s="54" t="n">
        <v>6.73</v>
      </c>
      <c r="F30" s="54" t="n">
        <v>0.6</v>
      </c>
      <c r="G30" s="55" t="s">
        <v>861</v>
      </c>
      <c r="H30" s="55" t="s">
        <v>848</v>
      </c>
      <c r="I30" s="55" t="s">
        <v>855</v>
      </c>
      <c r="J30" s="56"/>
      <c r="K30" s="56" t="s">
        <v>631</v>
      </c>
    </row>
    <row r="31" customFormat="false" ht="14.25" hidden="true" customHeight="true" outlineLevel="0" collapsed="false">
      <c r="A31" s="42" t="n">
        <v>29</v>
      </c>
      <c r="B31" s="42" t="s">
        <v>274</v>
      </c>
      <c r="C31" s="42" t="s">
        <v>163</v>
      </c>
      <c r="D31" s="58" t="s">
        <v>862</v>
      </c>
      <c r="E31" s="54"/>
      <c r="F31" s="54" t="n">
        <v>0</v>
      </c>
      <c r="G31" s="55" t="s">
        <v>863</v>
      </c>
      <c r="H31" s="55" t="s">
        <v>848</v>
      </c>
      <c r="I31" s="55" t="s">
        <v>849</v>
      </c>
      <c r="J31" s="56"/>
      <c r="K31" s="56" t="s">
        <v>275</v>
      </c>
    </row>
    <row r="32" customFormat="false" ht="14.25" hidden="true" customHeight="true" outlineLevel="0" collapsed="false">
      <c r="A32" s="42" t="n">
        <v>25</v>
      </c>
      <c r="B32" s="42" t="s">
        <v>244</v>
      </c>
      <c r="C32" s="42" t="s">
        <v>51</v>
      </c>
      <c r="D32" s="58" t="s">
        <v>862</v>
      </c>
      <c r="E32" s="54" t="n">
        <v>0</v>
      </c>
      <c r="F32" s="54" t="n">
        <v>0</v>
      </c>
      <c r="G32" s="55" t="s">
        <v>852</v>
      </c>
      <c r="H32" s="55" t="s">
        <v>848</v>
      </c>
      <c r="I32" s="55" t="s">
        <v>849</v>
      </c>
      <c r="J32" s="56"/>
      <c r="K32" s="56" t="s">
        <v>245</v>
      </c>
    </row>
    <row r="33" customFormat="false" ht="14.25" hidden="true" customHeight="true" outlineLevel="0" collapsed="false">
      <c r="A33" s="42" t="n">
        <v>45</v>
      </c>
      <c r="B33" s="42" t="s">
        <v>362</v>
      </c>
      <c r="C33" s="42" t="s">
        <v>163</v>
      </c>
      <c r="D33" s="58" t="s">
        <v>862</v>
      </c>
      <c r="E33" s="54"/>
      <c r="F33" s="54"/>
      <c r="G33" s="55" t="s">
        <v>864</v>
      </c>
      <c r="H33" s="55" t="s">
        <v>848</v>
      </c>
      <c r="I33" s="55" t="s">
        <v>849</v>
      </c>
      <c r="J33" s="56" t="s">
        <v>865</v>
      </c>
      <c r="K33" s="56" t="s">
        <v>363</v>
      </c>
    </row>
    <row r="34" customFormat="false" ht="14.25" hidden="true" customHeight="true" outlineLevel="0" collapsed="false">
      <c r="A34" s="42" t="n">
        <v>11</v>
      </c>
      <c r="B34" s="42" t="s">
        <v>143</v>
      </c>
      <c r="C34" s="42" t="s">
        <v>90</v>
      </c>
      <c r="D34" s="58" t="s">
        <v>862</v>
      </c>
      <c r="E34" s="54"/>
      <c r="F34" s="54"/>
      <c r="G34" s="55" t="s">
        <v>866</v>
      </c>
      <c r="H34" s="55" t="s">
        <v>848</v>
      </c>
      <c r="I34" s="55" t="s">
        <v>867</v>
      </c>
      <c r="J34" s="56" t="s">
        <v>866</v>
      </c>
      <c r="K34" s="56" t="s">
        <v>145</v>
      </c>
    </row>
    <row r="35" customFormat="false" ht="14.25" hidden="true" customHeight="true" outlineLevel="0" collapsed="false">
      <c r="A35" s="42" t="n">
        <v>21</v>
      </c>
      <c r="B35" s="42" t="s">
        <v>217</v>
      </c>
      <c r="C35" s="42" t="s">
        <v>51</v>
      </c>
      <c r="D35" s="58" t="s">
        <v>862</v>
      </c>
      <c r="E35" s="54"/>
      <c r="F35" s="54"/>
      <c r="G35" s="55" t="s">
        <v>852</v>
      </c>
      <c r="H35" s="55" t="s">
        <v>848</v>
      </c>
      <c r="I35" s="55" t="s">
        <v>849</v>
      </c>
      <c r="J35" s="56"/>
      <c r="K35" s="56" t="s">
        <v>219</v>
      </c>
    </row>
    <row r="36" customFormat="false" ht="14.25" hidden="true" customHeight="true" outlineLevel="0" collapsed="false">
      <c r="A36" s="42" t="n">
        <v>52</v>
      </c>
      <c r="B36" s="42" t="s">
        <v>403</v>
      </c>
      <c r="C36" s="42" t="s">
        <v>73</v>
      </c>
      <c r="D36" s="58" t="s">
        <v>862</v>
      </c>
      <c r="E36" s="54"/>
      <c r="F36" s="54"/>
      <c r="G36" s="55" t="s">
        <v>868</v>
      </c>
      <c r="H36" s="55" t="s">
        <v>848</v>
      </c>
      <c r="I36" s="55" t="s">
        <v>855</v>
      </c>
      <c r="J36" s="56"/>
      <c r="K36" s="56" t="s">
        <v>404</v>
      </c>
    </row>
    <row r="37" customFormat="false" ht="14.25" hidden="true" customHeight="true" outlineLevel="0" collapsed="false">
      <c r="A37" s="42" t="n">
        <v>9</v>
      </c>
      <c r="B37" s="42" t="s">
        <v>126</v>
      </c>
      <c r="C37" s="42" t="s">
        <v>51</v>
      </c>
      <c r="D37" s="58" t="s">
        <v>862</v>
      </c>
      <c r="E37" s="54"/>
      <c r="F37" s="54" t="n">
        <v>0</v>
      </c>
      <c r="G37" s="55" t="s">
        <v>859</v>
      </c>
      <c r="H37" s="55" t="s">
        <v>848</v>
      </c>
      <c r="I37" s="55" t="s">
        <v>849</v>
      </c>
      <c r="J37" s="56"/>
      <c r="K37" s="56" t="s">
        <v>128</v>
      </c>
    </row>
    <row r="38" customFormat="false" ht="14.25" hidden="false" customHeight="true" outlineLevel="0" collapsed="false">
      <c r="A38" s="42" t="n">
        <v>4</v>
      </c>
      <c r="B38" s="42" t="s">
        <v>82</v>
      </c>
      <c r="C38" s="42" t="s">
        <v>73</v>
      </c>
      <c r="D38" s="58" t="s">
        <v>862</v>
      </c>
      <c r="E38" s="54"/>
      <c r="F38" s="54"/>
      <c r="G38" s="55" t="s">
        <v>859</v>
      </c>
      <c r="H38" s="55" t="s">
        <v>848</v>
      </c>
      <c r="I38" s="55" t="s">
        <v>849</v>
      </c>
      <c r="J38" s="56"/>
      <c r="K38" s="56" t="s">
        <v>86</v>
      </c>
    </row>
    <row r="39" customFormat="false" ht="14.25" hidden="true" customHeight="true" outlineLevel="0" collapsed="false">
      <c r="A39" s="42" t="n">
        <v>84</v>
      </c>
      <c r="B39" s="42" t="s">
        <v>155</v>
      </c>
      <c r="C39" s="42" t="s">
        <v>90</v>
      </c>
      <c r="D39" s="58" t="s">
        <v>862</v>
      </c>
      <c r="E39" s="54"/>
      <c r="F39" s="54"/>
      <c r="G39" s="55" t="s">
        <v>859</v>
      </c>
      <c r="H39" s="55" t="s">
        <v>848</v>
      </c>
      <c r="I39" s="55" t="s">
        <v>855</v>
      </c>
      <c r="J39" s="56" t="s">
        <v>866</v>
      </c>
      <c r="K39" s="56" t="s">
        <v>582</v>
      </c>
    </row>
    <row r="40" customFormat="false" ht="14.25" hidden="true" customHeight="true" outlineLevel="0" collapsed="false">
      <c r="A40" s="42" t="n">
        <v>47</v>
      </c>
      <c r="B40" s="42" t="s">
        <v>155</v>
      </c>
      <c r="C40" s="42" t="s">
        <v>90</v>
      </c>
      <c r="D40" s="58" t="s">
        <v>862</v>
      </c>
      <c r="E40" s="54"/>
      <c r="F40" s="54"/>
      <c r="G40" s="55" t="s">
        <v>859</v>
      </c>
      <c r="H40" s="55" t="s">
        <v>848</v>
      </c>
      <c r="I40" s="55" t="s">
        <v>855</v>
      </c>
      <c r="J40" s="56" t="s">
        <v>866</v>
      </c>
      <c r="K40" s="56" t="s">
        <v>377</v>
      </c>
    </row>
    <row r="41" customFormat="false" ht="14.25" hidden="true" customHeight="true" outlineLevel="0" collapsed="false">
      <c r="A41" s="42" t="n">
        <v>56</v>
      </c>
      <c r="B41" s="42" t="s">
        <v>427</v>
      </c>
      <c r="C41" s="42" t="s">
        <v>61</v>
      </c>
      <c r="D41" s="58" t="s">
        <v>862</v>
      </c>
      <c r="E41" s="54"/>
      <c r="F41" s="54"/>
      <c r="G41" s="55" t="s">
        <v>869</v>
      </c>
      <c r="H41" s="55" t="s">
        <v>848</v>
      </c>
      <c r="I41" s="55" t="s">
        <v>849</v>
      </c>
      <c r="J41" s="56"/>
      <c r="K41" s="56" t="s">
        <v>430</v>
      </c>
    </row>
    <row r="42" customFormat="false" ht="14.25" hidden="true" customHeight="true" outlineLevel="0" collapsed="false">
      <c r="A42" s="42" t="n">
        <v>66</v>
      </c>
      <c r="B42" s="42" t="s">
        <v>478</v>
      </c>
      <c r="C42" s="42" t="s">
        <v>90</v>
      </c>
      <c r="D42" s="58" t="s">
        <v>862</v>
      </c>
      <c r="E42" s="54"/>
      <c r="F42" s="54"/>
      <c r="G42" s="55" t="s">
        <v>852</v>
      </c>
      <c r="H42" s="55" t="s">
        <v>848</v>
      </c>
      <c r="I42" s="55" t="s">
        <v>849</v>
      </c>
      <c r="J42" s="56"/>
      <c r="K42" s="56" t="s">
        <v>479</v>
      </c>
    </row>
    <row r="43" customFormat="false" ht="14.25" hidden="true" customHeight="true" outlineLevel="0" collapsed="false">
      <c r="A43" s="42" t="n">
        <v>46</v>
      </c>
      <c r="B43" s="42" t="s">
        <v>370</v>
      </c>
      <c r="C43" s="42" t="s">
        <v>163</v>
      </c>
      <c r="D43" s="58" t="s">
        <v>862</v>
      </c>
      <c r="E43" s="54"/>
      <c r="F43" s="54"/>
      <c r="G43" s="55" t="s">
        <v>870</v>
      </c>
      <c r="H43" s="55" t="s">
        <v>848</v>
      </c>
      <c r="I43" s="55" t="s">
        <v>849</v>
      </c>
      <c r="J43" s="56" t="s">
        <v>871</v>
      </c>
      <c r="K43" s="56" t="s">
        <v>372</v>
      </c>
    </row>
    <row r="44" customFormat="false" ht="14.25" hidden="true" customHeight="true" outlineLevel="0" collapsed="false">
      <c r="A44" s="42" t="n">
        <v>74</v>
      </c>
      <c r="B44" s="42" t="s">
        <v>522</v>
      </c>
      <c r="C44" s="42" t="s">
        <v>163</v>
      </c>
      <c r="D44" s="58" t="s">
        <v>862</v>
      </c>
      <c r="E44" s="54"/>
      <c r="F44" s="54"/>
      <c r="G44" s="55" t="s">
        <v>872</v>
      </c>
      <c r="H44" s="55" t="s">
        <v>848</v>
      </c>
      <c r="I44" s="55" t="s">
        <v>849</v>
      </c>
      <c r="J44" s="56"/>
      <c r="K44" s="56" t="s">
        <v>523</v>
      </c>
    </row>
    <row r="45" customFormat="false" ht="14.25" hidden="true" customHeight="true" outlineLevel="0" collapsed="false">
      <c r="A45" s="42" t="n">
        <v>23</v>
      </c>
      <c r="B45" s="42" t="s">
        <v>231</v>
      </c>
      <c r="C45" s="42" t="s">
        <v>51</v>
      </c>
      <c r="D45" s="58" t="s">
        <v>862</v>
      </c>
      <c r="E45" s="54"/>
      <c r="F45" s="54"/>
      <c r="G45" s="55" t="s">
        <v>873</v>
      </c>
      <c r="H45" s="55" t="s">
        <v>848</v>
      </c>
      <c r="I45" s="55" t="s">
        <v>855</v>
      </c>
      <c r="J45" s="56"/>
      <c r="K45" s="56" t="s">
        <v>233</v>
      </c>
    </row>
    <row r="46" customFormat="false" ht="14.25" hidden="true" customHeight="true" outlineLevel="0" collapsed="false">
      <c r="A46" s="42" t="n">
        <v>2</v>
      </c>
      <c r="B46" s="42" t="s">
        <v>67</v>
      </c>
      <c r="C46" s="42" t="s">
        <v>61</v>
      </c>
      <c r="D46" s="58" t="s">
        <v>862</v>
      </c>
      <c r="E46" s="54"/>
      <c r="F46" s="54"/>
      <c r="G46" s="55" t="s">
        <v>874</v>
      </c>
      <c r="H46" s="55" t="s">
        <v>848</v>
      </c>
      <c r="I46" s="55" t="s">
        <v>867</v>
      </c>
      <c r="J46" s="56" t="s">
        <v>875</v>
      </c>
      <c r="K46" s="56" t="s">
        <v>69</v>
      </c>
    </row>
    <row r="47" customFormat="false" ht="14.25" hidden="true" customHeight="true" outlineLevel="0" collapsed="false">
      <c r="A47" s="42" t="n">
        <v>86</v>
      </c>
      <c r="B47" s="42" t="s">
        <v>591</v>
      </c>
      <c r="C47" s="42" t="s">
        <v>61</v>
      </c>
      <c r="D47" s="58" t="s">
        <v>862</v>
      </c>
      <c r="E47" s="54"/>
      <c r="F47" s="54"/>
      <c r="G47" s="55" t="s">
        <v>876</v>
      </c>
      <c r="H47" s="55" t="s">
        <v>877</v>
      </c>
      <c r="I47" s="55" t="s">
        <v>855</v>
      </c>
      <c r="J47" s="56" t="s">
        <v>878</v>
      </c>
      <c r="K47" s="56" t="s">
        <v>593</v>
      </c>
    </row>
    <row r="48" customFormat="false" ht="14.25" hidden="true" customHeight="true" outlineLevel="0" collapsed="false">
      <c r="A48" s="42" t="n">
        <v>39</v>
      </c>
      <c r="B48" s="42" t="s">
        <v>323</v>
      </c>
      <c r="C48" s="42" t="s">
        <v>73</v>
      </c>
      <c r="D48" s="58" t="s">
        <v>862</v>
      </c>
      <c r="E48" s="54"/>
      <c r="F48" s="54" t="n">
        <v>0</v>
      </c>
      <c r="G48" s="55" t="s">
        <v>857</v>
      </c>
      <c r="H48" s="55" t="s">
        <v>879</v>
      </c>
      <c r="I48" s="55" t="s">
        <v>867</v>
      </c>
      <c r="J48" s="56"/>
      <c r="K48" s="56" t="s">
        <v>328</v>
      </c>
    </row>
    <row r="49" customFormat="false" ht="14.25" hidden="true" customHeight="true" outlineLevel="0" collapsed="false">
      <c r="A49" s="42" t="n">
        <v>80</v>
      </c>
      <c r="B49" s="42" t="s">
        <v>498</v>
      </c>
      <c r="C49" s="42" t="s">
        <v>51</v>
      </c>
      <c r="D49" s="58" t="s">
        <v>862</v>
      </c>
      <c r="E49" s="54"/>
      <c r="F49" s="54"/>
      <c r="G49" s="55" t="s">
        <v>852</v>
      </c>
      <c r="H49" s="55" t="s">
        <v>848</v>
      </c>
      <c r="I49" s="55" t="s">
        <v>849</v>
      </c>
      <c r="J49" s="56"/>
      <c r="K49" s="56" t="s">
        <v>560</v>
      </c>
    </row>
    <row r="50" customFormat="false" ht="14.25" hidden="true" customHeight="true" outlineLevel="0" collapsed="false">
      <c r="A50" s="42" t="n">
        <v>62</v>
      </c>
      <c r="B50" s="42" t="s">
        <v>458</v>
      </c>
      <c r="C50" s="42" t="s">
        <v>163</v>
      </c>
      <c r="D50" s="58" t="s">
        <v>862</v>
      </c>
      <c r="E50" s="54"/>
      <c r="F50" s="54"/>
      <c r="G50" s="55" t="s">
        <v>880</v>
      </c>
      <c r="H50" s="55" t="s">
        <v>848</v>
      </c>
      <c r="I50" s="55" t="s">
        <v>849</v>
      </c>
      <c r="J50" s="56"/>
      <c r="K50" s="56" t="s">
        <v>459</v>
      </c>
    </row>
    <row r="51" customFormat="false" ht="14.25" hidden="true" customHeight="true" outlineLevel="0" collapsed="false">
      <c r="A51" s="42"/>
      <c r="B51" s="42" t="s">
        <v>881</v>
      </c>
      <c r="C51" s="42"/>
      <c r="D51" s="58" t="s">
        <v>862</v>
      </c>
      <c r="E51" s="54"/>
      <c r="F51" s="54"/>
      <c r="G51" s="55" t="s">
        <v>882</v>
      </c>
      <c r="H51" s="55" t="s">
        <v>848</v>
      </c>
      <c r="I51" s="55" t="s">
        <v>867</v>
      </c>
      <c r="J51" s="56"/>
      <c r="K51" s="56" t="s">
        <v>883</v>
      </c>
    </row>
    <row r="52" customFormat="false" ht="14.25" hidden="true" customHeight="true" outlineLevel="0" collapsed="false">
      <c r="A52" s="42" t="n">
        <v>12</v>
      </c>
      <c r="B52" s="42" t="s">
        <v>148</v>
      </c>
      <c r="C52" s="42" t="s">
        <v>73</v>
      </c>
      <c r="D52" s="58" t="s">
        <v>862</v>
      </c>
      <c r="E52" s="54"/>
      <c r="F52" s="54"/>
      <c r="G52" s="55" t="s">
        <v>884</v>
      </c>
      <c r="H52" s="55" t="s">
        <v>848</v>
      </c>
      <c r="I52" s="55" t="s">
        <v>849</v>
      </c>
      <c r="J52" s="56"/>
      <c r="K52" s="56" t="s">
        <v>152</v>
      </c>
    </row>
    <row r="53" customFormat="false" ht="14.25" hidden="true" customHeight="true" outlineLevel="0" collapsed="false">
      <c r="A53" s="42" t="n">
        <v>38</v>
      </c>
      <c r="B53" s="42" t="s">
        <v>320</v>
      </c>
      <c r="C53" s="42" t="s">
        <v>163</v>
      </c>
      <c r="D53" s="58" t="s">
        <v>862</v>
      </c>
      <c r="E53" s="54"/>
      <c r="F53" s="54"/>
      <c r="G53" s="55" t="s">
        <v>885</v>
      </c>
      <c r="H53" s="55" t="s">
        <v>848</v>
      </c>
      <c r="I53" s="55" t="s">
        <v>849</v>
      </c>
      <c r="J53" s="56"/>
      <c r="K53" s="56" t="s">
        <v>321</v>
      </c>
    </row>
    <row r="54" customFormat="false" ht="14.25" hidden="true" customHeight="true" outlineLevel="0" collapsed="false">
      <c r="A54" s="42" t="n">
        <v>17</v>
      </c>
      <c r="B54" s="42" t="s">
        <v>186</v>
      </c>
      <c r="C54" s="42" t="s">
        <v>51</v>
      </c>
      <c r="D54" s="58" t="s">
        <v>862</v>
      </c>
      <c r="E54" s="54"/>
      <c r="F54" s="54"/>
      <c r="G54" s="55" t="s">
        <v>886</v>
      </c>
      <c r="H54" s="55" t="s">
        <v>848</v>
      </c>
      <c r="I54" s="55" t="s">
        <v>867</v>
      </c>
      <c r="J54" s="56"/>
      <c r="K54" s="56" t="s">
        <v>188</v>
      </c>
    </row>
    <row r="55" customFormat="false" ht="14.25" hidden="true" customHeight="true" outlineLevel="0" collapsed="false">
      <c r="A55" s="42" t="n">
        <v>3</v>
      </c>
      <c r="B55" s="42" t="s">
        <v>72</v>
      </c>
      <c r="C55" s="42" t="s">
        <v>73</v>
      </c>
      <c r="D55" s="58" t="s">
        <v>862</v>
      </c>
      <c r="E55" s="54"/>
      <c r="F55" s="54"/>
      <c r="G55" s="55" t="s">
        <v>887</v>
      </c>
      <c r="H55" s="55" t="s">
        <v>848</v>
      </c>
      <c r="I55" s="55" t="s">
        <v>849</v>
      </c>
      <c r="J55" s="56" t="s">
        <v>887</v>
      </c>
      <c r="K55" s="56" t="s">
        <v>79</v>
      </c>
    </row>
    <row r="56" customFormat="false" ht="14.25" hidden="true" customHeight="true" outlineLevel="0" collapsed="false">
      <c r="A56" s="42" t="n">
        <v>14</v>
      </c>
      <c r="B56" s="42" t="s">
        <v>167</v>
      </c>
      <c r="C56" s="42" t="s">
        <v>163</v>
      </c>
      <c r="D56" s="58" t="s">
        <v>862</v>
      </c>
      <c r="E56" s="54"/>
      <c r="F56" s="54"/>
      <c r="G56" s="55" t="s">
        <v>888</v>
      </c>
      <c r="H56" s="55" t="s">
        <v>848</v>
      </c>
      <c r="I56" s="55" t="s">
        <v>867</v>
      </c>
      <c r="J56" s="56" t="s">
        <v>889</v>
      </c>
      <c r="K56" s="56" t="s">
        <v>169</v>
      </c>
    </row>
    <row r="57" customFormat="false" ht="21" hidden="true" customHeight="true" outlineLevel="0" collapsed="false">
      <c r="A57" s="42" t="n">
        <v>72</v>
      </c>
      <c r="B57" s="42" t="s">
        <v>510</v>
      </c>
      <c r="C57" s="42" t="s">
        <v>73</v>
      </c>
      <c r="D57" s="58" t="s">
        <v>862</v>
      </c>
      <c r="E57" s="54"/>
      <c r="F57" s="54"/>
      <c r="G57" s="55" t="s">
        <v>857</v>
      </c>
      <c r="H57" s="55" t="s">
        <v>890</v>
      </c>
      <c r="I57" s="55" t="s">
        <v>867</v>
      </c>
      <c r="J57" s="57" t="s">
        <v>891</v>
      </c>
      <c r="K57" s="56" t="s">
        <v>512</v>
      </c>
    </row>
    <row r="58" customFormat="false" ht="14.25" hidden="true" customHeight="true" outlineLevel="0" collapsed="false">
      <c r="A58" s="42" t="n">
        <v>51</v>
      </c>
      <c r="B58" s="42" t="s">
        <v>167</v>
      </c>
      <c r="C58" s="42" t="s">
        <v>61</v>
      </c>
      <c r="D58" s="58" t="s">
        <v>862</v>
      </c>
      <c r="E58" s="54"/>
      <c r="F58" s="54"/>
      <c r="G58" s="55" t="s">
        <v>892</v>
      </c>
      <c r="H58" s="55" t="s">
        <v>893</v>
      </c>
      <c r="I58" s="55" t="s">
        <v>867</v>
      </c>
      <c r="J58" s="56" t="s">
        <v>894</v>
      </c>
      <c r="K58" s="56" t="s">
        <v>397</v>
      </c>
    </row>
    <row r="59" customFormat="false" ht="14.25" hidden="true" customHeight="true" outlineLevel="0" collapsed="false">
      <c r="A59" s="42" t="n">
        <v>73</v>
      </c>
      <c r="B59" s="42" t="s">
        <v>201</v>
      </c>
      <c r="C59" s="42" t="s">
        <v>51</v>
      </c>
      <c r="D59" s="58" t="s">
        <v>862</v>
      </c>
      <c r="E59" s="54"/>
      <c r="F59" s="54"/>
      <c r="G59" s="55" t="s">
        <v>852</v>
      </c>
      <c r="H59" s="55" t="s">
        <v>848</v>
      </c>
      <c r="I59" s="55" t="s">
        <v>849</v>
      </c>
      <c r="J59" s="56"/>
      <c r="K59" s="56" t="s">
        <v>517</v>
      </c>
    </row>
    <row r="60" customFormat="false" ht="14.25" hidden="true" customHeight="true" outlineLevel="0" collapsed="false">
      <c r="A60" s="42" t="n">
        <v>95</v>
      </c>
      <c r="B60" s="42" t="s">
        <v>167</v>
      </c>
      <c r="C60" s="42" t="s">
        <v>163</v>
      </c>
      <c r="D60" s="59" t="s">
        <v>895</v>
      </c>
      <c r="E60" s="54"/>
      <c r="F60" s="54"/>
      <c r="G60" s="55" t="s">
        <v>887</v>
      </c>
      <c r="H60" s="55" t="s">
        <v>848</v>
      </c>
      <c r="I60" s="55" t="s">
        <v>849</v>
      </c>
      <c r="J60" s="56" t="s">
        <v>887</v>
      </c>
      <c r="K60" s="56" t="s">
        <v>638</v>
      </c>
    </row>
    <row r="61" customFormat="false" ht="14.25" hidden="true" customHeight="true" outlineLevel="0" collapsed="false">
      <c r="A61" s="42" t="n">
        <v>92</v>
      </c>
      <c r="B61" s="42" t="s">
        <v>438</v>
      </c>
      <c r="C61" s="42" t="s">
        <v>90</v>
      </c>
      <c r="D61" s="59" t="s">
        <v>895</v>
      </c>
      <c r="E61" s="54"/>
      <c r="F61" s="54"/>
      <c r="G61" s="55" t="s">
        <v>852</v>
      </c>
      <c r="H61" s="55" t="s">
        <v>848</v>
      </c>
      <c r="I61" s="55" t="s">
        <v>849</v>
      </c>
      <c r="J61" s="56" t="s">
        <v>896</v>
      </c>
      <c r="K61" s="56" t="s">
        <v>621</v>
      </c>
    </row>
    <row r="62" customFormat="false" ht="14.25" hidden="true" customHeight="true" outlineLevel="0" collapsed="false">
      <c r="A62" s="42" t="n">
        <v>93</v>
      </c>
      <c r="B62" s="42" t="s">
        <v>438</v>
      </c>
      <c r="C62" s="42" t="s">
        <v>90</v>
      </c>
      <c r="D62" s="59" t="s">
        <v>895</v>
      </c>
      <c r="E62" s="54"/>
      <c r="F62" s="54"/>
      <c r="G62" s="55" t="s">
        <v>852</v>
      </c>
      <c r="H62" s="55" t="s">
        <v>848</v>
      </c>
      <c r="I62" s="55" t="s">
        <v>849</v>
      </c>
      <c r="J62" s="56" t="s">
        <v>896</v>
      </c>
      <c r="K62" s="56" t="s">
        <v>624</v>
      </c>
    </row>
    <row r="63" customFormat="false" ht="14.25" hidden="true" customHeight="true" outlineLevel="0" collapsed="false">
      <c r="A63" s="42" t="n">
        <v>58</v>
      </c>
      <c r="B63" s="42" t="s">
        <v>438</v>
      </c>
      <c r="C63" s="42" t="s">
        <v>90</v>
      </c>
      <c r="D63" s="59" t="s">
        <v>895</v>
      </c>
      <c r="E63" s="54"/>
      <c r="F63" s="54"/>
      <c r="G63" s="55" t="s">
        <v>852</v>
      </c>
      <c r="H63" s="55" t="s">
        <v>848</v>
      </c>
      <c r="I63" s="55" t="s">
        <v>849</v>
      </c>
      <c r="J63" s="56" t="s">
        <v>896</v>
      </c>
      <c r="K63" s="56" t="s">
        <v>440</v>
      </c>
    </row>
    <row r="64" customFormat="false" ht="14.25" hidden="true" customHeight="true" outlineLevel="0" collapsed="false">
      <c r="A64" s="42" t="n">
        <v>59</v>
      </c>
      <c r="B64" s="42" t="s">
        <v>438</v>
      </c>
      <c r="C64" s="42" t="s">
        <v>90</v>
      </c>
      <c r="D64" s="59" t="s">
        <v>895</v>
      </c>
      <c r="E64" s="54"/>
      <c r="F64" s="54"/>
      <c r="G64" s="55" t="s">
        <v>852</v>
      </c>
      <c r="H64" s="55" t="s">
        <v>848</v>
      </c>
      <c r="I64" s="55" t="s">
        <v>849</v>
      </c>
      <c r="J64" s="56" t="s">
        <v>896</v>
      </c>
      <c r="K64" s="56" t="s">
        <v>446</v>
      </c>
    </row>
    <row r="65" customFormat="false" ht="14.25" hidden="true" customHeight="true" outlineLevel="0" collapsed="false">
      <c r="A65" s="42" t="n">
        <v>41</v>
      </c>
      <c r="B65" s="42" t="s">
        <v>334</v>
      </c>
      <c r="C65" s="42" t="s">
        <v>61</v>
      </c>
      <c r="D65" s="59" t="s">
        <v>895</v>
      </c>
      <c r="E65" s="54"/>
      <c r="F65" s="54"/>
      <c r="G65" s="55" t="s">
        <v>852</v>
      </c>
      <c r="H65" s="55" t="s">
        <v>848</v>
      </c>
      <c r="I65" s="55" t="s">
        <v>849</v>
      </c>
      <c r="J65" s="56"/>
      <c r="K65" s="56" t="s">
        <v>338</v>
      </c>
    </row>
    <row r="66" customFormat="false" ht="14.25" hidden="true" customHeight="true" outlineLevel="0" collapsed="false">
      <c r="A66" s="42" t="n">
        <v>57</v>
      </c>
      <c r="B66" s="42" t="s">
        <v>93</v>
      </c>
      <c r="C66" s="42" t="s">
        <v>90</v>
      </c>
      <c r="D66" s="59" t="s">
        <v>895</v>
      </c>
      <c r="E66" s="54"/>
      <c r="F66" s="54"/>
      <c r="G66" s="55" t="s">
        <v>852</v>
      </c>
      <c r="H66" s="55" t="s">
        <v>848</v>
      </c>
      <c r="I66" s="55" t="s">
        <v>849</v>
      </c>
      <c r="J66" s="56"/>
      <c r="K66" s="56" t="s">
        <v>434</v>
      </c>
    </row>
    <row r="67" customFormat="false" ht="14.25" hidden="true" customHeight="true" outlineLevel="0" collapsed="false">
      <c r="A67" s="42" t="n">
        <v>34</v>
      </c>
      <c r="B67" s="42" t="s">
        <v>143</v>
      </c>
      <c r="C67" s="42" t="s">
        <v>90</v>
      </c>
      <c r="D67" s="59" t="s">
        <v>895</v>
      </c>
      <c r="E67" s="54"/>
      <c r="F67" s="54"/>
      <c r="G67" s="55" t="s">
        <v>852</v>
      </c>
      <c r="H67" s="55" t="s">
        <v>848</v>
      </c>
      <c r="I67" s="55" t="s">
        <v>867</v>
      </c>
      <c r="J67" s="56"/>
      <c r="K67" s="56" t="s">
        <v>300</v>
      </c>
    </row>
    <row r="68" customFormat="false" ht="14.25" hidden="true" customHeight="true" outlineLevel="0" collapsed="false">
      <c r="A68" s="42" t="n">
        <v>76</v>
      </c>
      <c r="B68" s="42" t="s">
        <v>532</v>
      </c>
      <c r="C68" s="42" t="s">
        <v>51</v>
      </c>
      <c r="D68" s="59" t="s">
        <v>895</v>
      </c>
      <c r="E68" s="54"/>
      <c r="F68" s="54" t="n">
        <v>0</v>
      </c>
      <c r="G68" s="55" t="s">
        <v>852</v>
      </c>
      <c r="H68" s="55" t="s">
        <v>848</v>
      </c>
      <c r="I68" s="55" t="s">
        <v>867</v>
      </c>
      <c r="J68" s="56" t="s">
        <v>897</v>
      </c>
      <c r="K68" s="56" t="s">
        <v>535</v>
      </c>
    </row>
    <row r="69" customFormat="false" ht="14.25" hidden="true" customHeight="true" outlineLevel="0" collapsed="false">
      <c r="A69" s="42" t="n">
        <v>82</v>
      </c>
      <c r="B69" s="42" t="s">
        <v>143</v>
      </c>
      <c r="C69" s="42" t="s">
        <v>90</v>
      </c>
      <c r="D69" s="59" t="s">
        <v>895</v>
      </c>
      <c r="E69" s="54"/>
      <c r="F69" s="54"/>
      <c r="G69" s="55" t="s">
        <v>852</v>
      </c>
      <c r="H69" s="55" t="s">
        <v>848</v>
      </c>
      <c r="I69" s="55" t="s">
        <v>849</v>
      </c>
      <c r="J69" s="56"/>
      <c r="K69" s="56" t="s">
        <v>570</v>
      </c>
    </row>
    <row r="70" customFormat="false" ht="14.25" hidden="true" customHeight="true" outlineLevel="0" collapsed="false">
      <c r="A70" s="42" t="n">
        <v>65</v>
      </c>
      <c r="B70" s="42" t="s">
        <v>260</v>
      </c>
      <c r="C70" s="42" t="s">
        <v>90</v>
      </c>
      <c r="D70" s="59" t="s">
        <v>895</v>
      </c>
      <c r="E70" s="54"/>
      <c r="F70" s="54"/>
      <c r="G70" s="55" t="s">
        <v>852</v>
      </c>
      <c r="H70" s="55" t="s">
        <v>848</v>
      </c>
      <c r="I70" s="55" t="s">
        <v>849</v>
      </c>
      <c r="J70" s="56"/>
      <c r="K70" s="56" t="s">
        <v>473</v>
      </c>
    </row>
    <row r="71" customFormat="false" ht="14.25" hidden="true" customHeight="true" outlineLevel="0" collapsed="false">
      <c r="A71" s="42" t="n">
        <v>42</v>
      </c>
      <c r="B71" s="42" t="s">
        <v>344</v>
      </c>
      <c r="C71" s="42" t="s">
        <v>73</v>
      </c>
      <c r="D71" s="59" t="s">
        <v>895</v>
      </c>
      <c r="E71" s="54"/>
      <c r="F71" s="54"/>
      <c r="G71" s="55" t="s">
        <v>852</v>
      </c>
      <c r="H71" s="55" t="s">
        <v>848</v>
      </c>
      <c r="I71" s="55" t="s">
        <v>849</v>
      </c>
      <c r="J71" s="56"/>
      <c r="K71" s="56" t="s">
        <v>345</v>
      </c>
    </row>
    <row r="72" customFormat="false" ht="14.25" hidden="true" customHeight="true" outlineLevel="0" collapsed="false">
      <c r="A72" s="42" t="n">
        <v>32</v>
      </c>
      <c r="B72" s="42" t="s">
        <v>260</v>
      </c>
      <c r="C72" s="42" t="s">
        <v>90</v>
      </c>
      <c r="D72" s="59" t="s">
        <v>895</v>
      </c>
      <c r="E72" s="54"/>
      <c r="F72" s="54"/>
      <c r="G72" s="55" t="s">
        <v>852</v>
      </c>
      <c r="H72" s="55" t="s">
        <v>848</v>
      </c>
      <c r="I72" s="55" t="s">
        <v>849</v>
      </c>
      <c r="J72" s="56"/>
      <c r="K72" s="56" t="s">
        <v>292</v>
      </c>
    </row>
    <row r="73" customFormat="false" ht="14.25" hidden="true" customHeight="true" outlineLevel="0" collapsed="false">
      <c r="A73" s="42" t="n">
        <v>27</v>
      </c>
      <c r="B73" s="42" t="s">
        <v>260</v>
      </c>
      <c r="C73" s="42" t="s">
        <v>90</v>
      </c>
      <c r="D73" s="59" t="s">
        <v>895</v>
      </c>
      <c r="E73" s="54"/>
      <c r="F73" s="54"/>
      <c r="G73" s="55" t="s">
        <v>852</v>
      </c>
      <c r="H73" s="55" t="s">
        <v>848</v>
      </c>
      <c r="I73" s="55" t="s">
        <v>849</v>
      </c>
      <c r="J73" s="56"/>
      <c r="K73" s="56" t="s">
        <v>261</v>
      </c>
    </row>
    <row r="74" customFormat="false" ht="14.25" hidden="true" customHeight="true" outlineLevel="0" collapsed="false">
      <c r="A74" s="42" t="n">
        <v>13</v>
      </c>
      <c r="B74" s="42" t="s">
        <v>155</v>
      </c>
      <c r="C74" s="42" t="s">
        <v>90</v>
      </c>
      <c r="D74" s="59" t="s">
        <v>895</v>
      </c>
      <c r="E74" s="54"/>
      <c r="F74" s="54"/>
      <c r="G74" s="55" t="s">
        <v>852</v>
      </c>
      <c r="H74" s="55" t="s">
        <v>848</v>
      </c>
      <c r="I74" s="55" t="s">
        <v>855</v>
      </c>
      <c r="J74" s="56" t="s">
        <v>866</v>
      </c>
      <c r="K74" s="56" t="s">
        <v>159</v>
      </c>
    </row>
    <row r="75" customFormat="false" ht="14.25" hidden="true" customHeight="true" outlineLevel="0" collapsed="false">
      <c r="A75" s="42" t="n">
        <v>63</v>
      </c>
      <c r="B75" s="42" t="s">
        <v>465</v>
      </c>
      <c r="C75" s="42" t="s">
        <v>51</v>
      </c>
      <c r="D75" s="59" t="s">
        <v>895</v>
      </c>
      <c r="E75" s="54"/>
      <c r="F75" s="54"/>
      <c r="G75" s="55" t="s">
        <v>852</v>
      </c>
      <c r="H75" s="55" t="s">
        <v>848</v>
      </c>
      <c r="I75" s="55" t="s">
        <v>855</v>
      </c>
      <c r="J75" s="56"/>
      <c r="K75" s="56" t="s">
        <v>466</v>
      </c>
    </row>
    <row r="76" customFormat="false" ht="14.25" hidden="true" customHeight="true" outlineLevel="0" collapsed="false">
      <c r="A76" s="42" t="n">
        <v>37</v>
      </c>
      <c r="B76" s="42" t="s">
        <v>314</v>
      </c>
      <c r="C76" s="42" t="s">
        <v>163</v>
      </c>
      <c r="D76" s="59" t="s">
        <v>895</v>
      </c>
      <c r="E76" s="54"/>
      <c r="F76" s="54"/>
      <c r="G76" s="55" t="s">
        <v>852</v>
      </c>
      <c r="H76" s="55" t="s">
        <v>848</v>
      </c>
      <c r="I76" s="55" t="s">
        <v>849</v>
      </c>
      <c r="J76" s="56"/>
      <c r="K76" s="56" t="s">
        <v>315</v>
      </c>
    </row>
    <row r="77" customFormat="false" ht="14.25" hidden="true" customHeight="true" outlineLevel="0" collapsed="false">
      <c r="A77" s="42" t="n">
        <v>69</v>
      </c>
      <c r="B77" s="42" t="s">
        <v>285</v>
      </c>
      <c r="C77" s="42" t="s">
        <v>51</v>
      </c>
      <c r="D77" s="59" t="s">
        <v>895</v>
      </c>
      <c r="E77" s="54"/>
      <c r="F77" s="54"/>
      <c r="G77" s="55" t="s">
        <v>852</v>
      </c>
      <c r="H77" s="55" t="s">
        <v>848</v>
      </c>
      <c r="I77" s="55" t="s">
        <v>855</v>
      </c>
      <c r="J77" s="56" t="s">
        <v>889</v>
      </c>
      <c r="K77" s="56" t="s">
        <v>493</v>
      </c>
    </row>
    <row r="78" customFormat="false" ht="14.25" hidden="true" customHeight="true" outlineLevel="0" collapsed="false">
      <c r="A78" s="42" t="n">
        <v>31</v>
      </c>
      <c r="B78" s="42" t="s">
        <v>285</v>
      </c>
      <c r="C78" s="42" t="s">
        <v>51</v>
      </c>
      <c r="D78" s="59" t="s">
        <v>895</v>
      </c>
      <c r="E78" s="54"/>
      <c r="F78" s="54"/>
      <c r="G78" s="55" t="s">
        <v>852</v>
      </c>
      <c r="H78" s="55" t="s">
        <v>848</v>
      </c>
      <c r="I78" s="55" t="s">
        <v>855</v>
      </c>
      <c r="J78" s="56" t="s">
        <v>889</v>
      </c>
      <c r="K78" s="56" t="s">
        <v>287</v>
      </c>
    </row>
    <row r="79" customFormat="false" ht="14.25" hidden="true" customHeight="true" outlineLevel="0" collapsed="false">
      <c r="A79" s="42" t="n">
        <v>85</v>
      </c>
      <c r="B79" s="42" t="s">
        <v>334</v>
      </c>
      <c r="C79" s="42" t="s">
        <v>61</v>
      </c>
      <c r="D79" s="59" t="s">
        <v>895</v>
      </c>
      <c r="E79" s="54"/>
      <c r="F79" s="54"/>
      <c r="G79" s="55" t="s">
        <v>852</v>
      </c>
      <c r="H79" s="55" t="s">
        <v>848</v>
      </c>
      <c r="I79" s="55" t="s">
        <v>849</v>
      </c>
      <c r="J79" s="56" t="s">
        <v>898</v>
      </c>
      <c r="K79" s="56" t="s">
        <v>586</v>
      </c>
    </row>
    <row r="80" customFormat="false" ht="14.25" hidden="true" customHeight="true" outlineLevel="0" collapsed="false">
      <c r="A80" s="42" t="n">
        <v>22</v>
      </c>
      <c r="B80" s="42" t="s">
        <v>222</v>
      </c>
      <c r="C80" s="42" t="s">
        <v>51</v>
      </c>
      <c r="D80" s="59" t="s">
        <v>895</v>
      </c>
      <c r="E80" s="54"/>
      <c r="F80" s="54"/>
      <c r="G80" s="55" t="s">
        <v>852</v>
      </c>
      <c r="H80" s="55" t="s">
        <v>848</v>
      </c>
      <c r="I80" s="55" t="s">
        <v>849</v>
      </c>
      <c r="J80" s="56" t="s">
        <v>866</v>
      </c>
      <c r="K80" s="56" t="s">
        <v>225</v>
      </c>
    </row>
    <row r="81" customFormat="false" ht="14.25" hidden="true" customHeight="true" outlineLevel="0" collapsed="false">
      <c r="A81" s="42" t="n">
        <v>75</v>
      </c>
      <c r="B81" s="42" t="s">
        <v>370</v>
      </c>
      <c r="C81" s="42" t="s">
        <v>163</v>
      </c>
      <c r="D81" s="59" t="s">
        <v>895</v>
      </c>
      <c r="E81" s="54"/>
      <c r="F81" s="54"/>
      <c r="G81" s="55" t="s">
        <v>852</v>
      </c>
      <c r="H81" s="55" t="s">
        <v>848</v>
      </c>
      <c r="I81" s="55" t="s">
        <v>849</v>
      </c>
      <c r="J81" s="56"/>
      <c r="K81" s="56" t="s">
        <v>529</v>
      </c>
    </row>
    <row r="82" customFormat="false" ht="14.25" hidden="true" customHeight="true" outlineLevel="0" collapsed="false">
      <c r="A82" s="42" t="n">
        <v>49</v>
      </c>
      <c r="B82" s="42" t="s">
        <v>386</v>
      </c>
      <c r="C82" s="42" t="s">
        <v>73</v>
      </c>
      <c r="D82" s="59" t="s">
        <v>895</v>
      </c>
      <c r="E82" s="54"/>
      <c r="F82" s="54"/>
      <c r="G82" s="55" t="s">
        <v>852</v>
      </c>
      <c r="H82" s="55" t="s">
        <v>848</v>
      </c>
      <c r="I82" s="55" t="s">
        <v>849</v>
      </c>
      <c r="J82" s="56"/>
      <c r="K82" s="56" t="s">
        <v>388</v>
      </c>
    </row>
    <row r="83" customFormat="false" ht="14.25" hidden="true" customHeight="true" outlineLevel="0" collapsed="false">
      <c r="A83" s="42" t="n">
        <v>60</v>
      </c>
      <c r="B83" s="42" t="s">
        <v>167</v>
      </c>
      <c r="C83" s="42" t="s">
        <v>163</v>
      </c>
      <c r="D83" s="59" t="s">
        <v>895</v>
      </c>
      <c r="E83" s="54"/>
      <c r="F83" s="54" t="n">
        <v>21711</v>
      </c>
      <c r="G83" s="55" t="s">
        <v>852</v>
      </c>
      <c r="H83" s="55" t="s">
        <v>848</v>
      </c>
      <c r="I83" s="55" t="s">
        <v>849</v>
      </c>
      <c r="J83" s="56"/>
      <c r="K83" s="56" t="s">
        <v>450</v>
      </c>
    </row>
    <row r="84" customFormat="false" ht="14.25" hidden="true" customHeight="true" outlineLevel="0" collapsed="false">
      <c r="A84" s="42" t="n">
        <v>99</v>
      </c>
      <c r="B84" s="42" t="s">
        <v>386</v>
      </c>
      <c r="C84" s="42" t="s">
        <v>73</v>
      </c>
      <c r="D84" s="59" t="s">
        <v>895</v>
      </c>
      <c r="E84" s="54"/>
      <c r="F84" s="54"/>
      <c r="G84" s="55" t="s">
        <v>852</v>
      </c>
      <c r="H84" s="55" t="s">
        <v>848</v>
      </c>
      <c r="I84" s="55" t="s">
        <v>867</v>
      </c>
      <c r="J84" s="56" t="s">
        <v>899</v>
      </c>
      <c r="K84" s="56" t="s">
        <v>656</v>
      </c>
    </row>
    <row r="85" customFormat="false" ht="14.25" hidden="true" customHeight="true" outlineLevel="0" collapsed="false">
      <c r="A85" s="42" t="n">
        <v>16</v>
      </c>
      <c r="B85" s="42" t="s">
        <v>98</v>
      </c>
      <c r="C85" s="42" t="s">
        <v>73</v>
      </c>
      <c r="D85" s="59" t="s">
        <v>895</v>
      </c>
      <c r="E85" s="54" t="n">
        <v>0</v>
      </c>
      <c r="F85" s="54"/>
      <c r="G85" s="55" t="s">
        <v>852</v>
      </c>
      <c r="H85" s="55" t="s">
        <v>848</v>
      </c>
      <c r="I85" s="55" t="s">
        <v>849</v>
      </c>
      <c r="J85" s="56"/>
      <c r="K85" s="56" t="s">
        <v>182</v>
      </c>
    </row>
    <row r="86" customFormat="false" ht="14.25" hidden="true" customHeight="true" outlineLevel="0" collapsed="false">
      <c r="A86" s="42" t="n">
        <v>83</v>
      </c>
      <c r="B86" s="42" t="s">
        <v>98</v>
      </c>
      <c r="C86" s="42" t="s">
        <v>73</v>
      </c>
      <c r="D86" s="59" t="s">
        <v>895</v>
      </c>
      <c r="E86" s="54"/>
      <c r="F86" s="54"/>
      <c r="G86" s="55" t="s">
        <v>852</v>
      </c>
      <c r="H86" s="55" t="s">
        <v>848</v>
      </c>
      <c r="I86" s="55" t="s">
        <v>849</v>
      </c>
      <c r="J86" s="56" t="s">
        <v>900</v>
      </c>
      <c r="K86" s="56" t="s">
        <v>578</v>
      </c>
    </row>
    <row r="87" customFormat="false" ht="14.25" hidden="true" customHeight="true" outlineLevel="0" collapsed="false">
      <c r="A87" s="42" t="n">
        <v>81</v>
      </c>
      <c r="B87" s="42" t="s">
        <v>383</v>
      </c>
      <c r="C87" s="42" t="s">
        <v>73</v>
      </c>
      <c r="D87" s="59" t="s">
        <v>895</v>
      </c>
      <c r="E87" s="54"/>
      <c r="F87" s="54"/>
      <c r="G87" s="55" t="s">
        <v>852</v>
      </c>
      <c r="H87" s="55" t="s">
        <v>848</v>
      </c>
      <c r="I87" s="55" t="s">
        <v>867</v>
      </c>
      <c r="J87" s="56" t="s">
        <v>901</v>
      </c>
      <c r="K87" s="56" t="s">
        <v>565</v>
      </c>
    </row>
    <row r="88" customFormat="false" ht="14.25" hidden="true" customHeight="true" outlineLevel="0" collapsed="false">
      <c r="A88" s="42" t="n">
        <v>68</v>
      </c>
      <c r="B88" s="42" t="s">
        <v>118</v>
      </c>
      <c r="C88" s="42" t="s">
        <v>90</v>
      </c>
      <c r="D88" s="59" t="s">
        <v>895</v>
      </c>
      <c r="E88" s="54"/>
      <c r="F88" s="54"/>
      <c r="G88" s="55" t="s">
        <v>852</v>
      </c>
      <c r="H88" s="55" t="s">
        <v>848</v>
      </c>
      <c r="I88" s="55" t="s">
        <v>849</v>
      </c>
      <c r="J88" s="56"/>
      <c r="K88" s="56" t="s">
        <v>490</v>
      </c>
    </row>
    <row r="89" customFormat="false" ht="14.25" hidden="true" customHeight="true" outlineLevel="0" collapsed="false">
      <c r="A89" s="42" t="n">
        <v>33</v>
      </c>
      <c r="B89" s="42" t="s">
        <v>118</v>
      </c>
      <c r="C89" s="42" t="s">
        <v>90</v>
      </c>
      <c r="D89" s="59" t="s">
        <v>895</v>
      </c>
      <c r="E89" s="54"/>
      <c r="F89" s="54"/>
      <c r="G89" s="55" t="s">
        <v>852</v>
      </c>
      <c r="H89" s="55" t="s">
        <v>848</v>
      </c>
      <c r="I89" s="55" t="s">
        <v>849</v>
      </c>
      <c r="J89" s="56" t="s">
        <v>902</v>
      </c>
      <c r="K89" s="56" t="s">
        <v>297</v>
      </c>
    </row>
    <row r="90" customFormat="false" ht="14.25" hidden="true" customHeight="true" outlineLevel="0" collapsed="false">
      <c r="A90" s="42" t="n">
        <v>8</v>
      </c>
      <c r="B90" s="42" t="s">
        <v>118</v>
      </c>
      <c r="C90" s="42" t="s">
        <v>90</v>
      </c>
      <c r="D90" s="59" t="s">
        <v>895</v>
      </c>
      <c r="E90" s="54"/>
      <c r="F90" s="54"/>
      <c r="G90" s="55" t="s">
        <v>852</v>
      </c>
      <c r="H90" s="55" t="s">
        <v>848</v>
      </c>
      <c r="I90" s="55" t="s">
        <v>849</v>
      </c>
      <c r="J90" s="56" t="s">
        <v>903</v>
      </c>
      <c r="K90" s="56" t="s">
        <v>120</v>
      </c>
    </row>
    <row r="91" customFormat="false" ht="14.25" hidden="true" customHeight="true" outlineLevel="0" collapsed="false">
      <c r="A91" s="42" t="n">
        <v>64</v>
      </c>
      <c r="B91" s="42" t="s">
        <v>135</v>
      </c>
      <c r="C91" s="42" t="s">
        <v>90</v>
      </c>
      <c r="D91" s="59" t="s">
        <v>895</v>
      </c>
      <c r="E91" s="54"/>
      <c r="F91" s="54"/>
      <c r="G91" s="55" t="s">
        <v>852</v>
      </c>
      <c r="H91" s="55" t="s">
        <v>848</v>
      </c>
      <c r="I91" s="55" t="s">
        <v>849</v>
      </c>
      <c r="J91" s="56"/>
      <c r="K91" s="56" t="s">
        <v>469</v>
      </c>
    </row>
    <row r="92" customFormat="false" ht="14.25" hidden="true" customHeight="true" outlineLevel="0" collapsed="false">
      <c r="A92" s="42" t="n">
        <v>36</v>
      </c>
      <c r="B92" s="42" t="s">
        <v>135</v>
      </c>
      <c r="C92" s="42" t="s">
        <v>90</v>
      </c>
      <c r="D92" s="59" t="s">
        <v>895</v>
      </c>
      <c r="E92" s="54"/>
      <c r="F92" s="54"/>
      <c r="G92" s="55" t="s">
        <v>852</v>
      </c>
      <c r="H92" s="55" t="s">
        <v>848</v>
      </c>
      <c r="I92" s="55" t="s">
        <v>849</v>
      </c>
      <c r="J92" s="56"/>
      <c r="K92" s="56" t="s">
        <v>309</v>
      </c>
    </row>
    <row r="93" customFormat="false" ht="14.25" hidden="true" customHeight="true" outlineLevel="0" collapsed="false">
      <c r="A93" s="42" t="n">
        <v>10</v>
      </c>
      <c r="B93" s="42" t="s">
        <v>135</v>
      </c>
      <c r="C93" s="42" t="s">
        <v>90</v>
      </c>
      <c r="D93" s="59" t="s">
        <v>895</v>
      </c>
      <c r="E93" s="54"/>
      <c r="F93" s="54"/>
      <c r="G93" s="55" t="s">
        <v>852</v>
      </c>
      <c r="H93" s="55" t="s">
        <v>848</v>
      </c>
      <c r="I93" s="55" t="s">
        <v>849</v>
      </c>
      <c r="J93" s="56"/>
      <c r="K93" s="56" t="s">
        <v>137</v>
      </c>
    </row>
    <row r="94" customFormat="false" ht="14.25" hidden="true" customHeight="true" outlineLevel="0" collapsed="false">
      <c r="A94" s="42" t="n">
        <v>89</v>
      </c>
      <c r="B94" s="42" t="s">
        <v>172</v>
      </c>
      <c r="C94" s="42" t="s">
        <v>90</v>
      </c>
      <c r="D94" s="59" t="s">
        <v>895</v>
      </c>
      <c r="E94" s="54"/>
      <c r="F94" s="54"/>
      <c r="G94" s="55" t="s">
        <v>852</v>
      </c>
      <c r="H94" s="55" t="s">
        <v>848</v>
      </c>
      <c r="I94" s="55" t="s">
        <v>855</v>
      </c>
      <c r="J94" s="56" t="s">
        <v>904</v>
      </c>
      <c r="K94" s="56" t="s">
        <v>608</v>
      </c>
    </row>
    <row r="95" customFormat="false" ht="14.25" hidden="true" customHeight="true" outlineLevel="0" collapsed="false">
      <c r="A95" s="42" t="n">
        <v>90</v>
      </c>
      <c r="B95" s="42" t="s">
        <v>172</v>
      </c>
      <c r="C95" s="42" t="s">
        <v>90</v>
      </c>
      <c r="D95" s="59" t="s">
        <v>895</v>
      </c>
      <c r="E95" s="54"/>
      <c r="F95" s="54"/>
      <c r="G95" s="55" t="s">
        <v>852</v>
      </c>
      <c r="H95" s="55" t="s">
        <v>848</v>
      </c>
      <c r="I95" s="55" t="s">
        <v>849</v>
      </c>
      <c r="J95" s="56" t="s">
        <v>905</v>
      </c>
      <c r="K95" s="56" t="s">
        <v>612</v>
      </c>
    </row>
    <row r="96" customFormat="false" ht="14.25" hidden="true" customHeight="true" outlineLevel="0" collapsed="false">
      <c r="A96" s="42" t="n">
        <v>44</v>
      </c>
      <c r="B96" s="42" t="s">
        <v>172</v>
      </c>
      <c r="C96" s="42" t="s">
        <v>90</v>
      </c>
      <c r="D96" s="59" t="s">
        <v>895</v>
      </c>
      <c r="E96" s="54"/>
      <c r="F96" s="54"/>
      <c r="G96" s="55"/>
      <c r="H96" s="55" t="s">
        <v>848</v>
      </c>
      <c r="I96" s="55" t="s">
        <v>849</v>
      </c>
      <c r="J96" s="56" t="s">
        <v>906</v>
      </c>
      <c r="K96" s="56" t="s">
        <v>356</v>
      </c>
    </row>
    <row r="97" customFormat="false" ht="14.25" hidden="true" customHeight="true" outlineLevel="0" collapsed="false">
      <c r="A97" s="42" t="n">
        <v>15</v>
      </c>
      <c r="B97" s="42" t="s">
        <v>172</v>
      </c>
      <c r="C97" s="42" t="s">
        <v>90</v>
      </c>
      <c r="D97" s="59" t="s">
        <v>895</v>
      </c>
      <c r="E97" s="54"/>
      <c r="F97" s="54"/>
      <c r="G97" s="55"/>
      <c r="H97" s="55" t="s">
        <v>848</v>
      </c>
      <c r="I97" s="55" t="s">
        <v>849</v>
      </c>
      <c r="J97" s="56" t="s">
        <v>906</v>
      </c>
      <c r="K97" s="56" t="s">
        <v>176</v>
      </c>
    </row>
    <row r="98" customFormat="false" ht="14.25" hidden="true" customHeight="true" outlineLevel="0" collapsed="false">
      <c r="A98" s="42" t="n">
        <v>20</v>
      </c>
      <c r="B98" s="42" t="s">
        <v>209</v>
      </c>
      <c r="C98" s="42" t="s">
        <v>51</v>
      </c>
      <c r="D98" s="59" t="s">
        <v>895</v>
      </c>
      <c r="E98" s="54"/>
      <c r="F98" s="54"/>
      <c r="G98" s="55" t="s">
        <v>907</v>
      </c>
      <c r="H98" s="55" t="s">
        <v>848</v>
      </c>
      <c r="I98" s="55" t="s">
        <v>849</v>
      </c>
      <c r="J98" s="56" t="s">
        <v>866</v>
      </c>
      <c r="K98" s="56" t="s">
        <v>211</v>
      </c>
    </row>
    <row r="99" customFormat="false" ht="14.25" hidden="true" customHeight="true" outlineLevel="0" collapsed="false">
      <c r="A99" s="42" t="n">
        <v>19</v>
      </c>
      <c r="B99" s="42" t="s">
        <v>201</v>
      </c>
      <c r="C99" s="42" t="s">
        <v>51</v>
      </c>
      <c r="D99" s="59" t="s">
        <v>895</v>
      </c>
      <c r="E99" s="54"/>
      <c r="F99" s="54"/>
      <c r="G99" s="55" t="s">
        <v>852</v>
      </c>
      <c r="H99" s="55" t="s">
        <v>848</v>
      </c>
      <c r="I99" s="55" t="s">
        <v>849</v>
      </c>
      <c r="J99" s="56"/>
      <c r="K99" s="56" t="s">
        <v>203</v>
      </c>
    </row>
    <row r="100" customFormat="false" ht="14.25" hidden="true" customHeight="true" outlineLevel="0" collapsed="false">
      <c r="A100" s="42" t="n">
        <v>98</v>
      </c>
      <c r="B100" s="42" t="s">
        <v>386</v>
      </c>
      <c r="C100" s="42" t="s">
        <v>73</v>
      </c>
      <c r="D100" s="59" t="s">
        <v>895</v>
      </c>
      <c r="E100" s="54"/>
      <c r="F100" s="54"/>
      <c r="G100" s="55" t="s">
        <v>852</v>
      </c>
      <c r="H100" s="55" t="s">
        <v>848</v>
      </c>
      <c r="I100" s="55" t="s">
        <v>867</v>
      </c>
      <c r="J100" s="56" t="s">
        <v>908</v>
      </c>
      <c r="K100" s="56" t="s">
        <v>653</v>
      </c>
    </row>
    <row r="101" customFormat="false" ht="14.25" hidden="true" customHeight="true" outlineLevel="0" collapsed="false">
      <c r="A101" s="42" t="n">
        <v>24</v>
      </c>
      <c r="B101" s="42" t="s">
        <v>201</v>
      </c>
      <c r="C101" s="42" t="s">
        <v>51</v>
      </c>
      <c r="D101" s="59" t="s">
        <v>895</v>
      </c>
      <c r="E101" s="54"/>
      <c r="F101" s="54"/>
      <c r="G101" s="55" t="s">
        <v>852</v>
      </c>
      <c r="H101" s="55" t="s">
        <v>848</v>
      </c>
      <c r="I101" s="55" t="s">
        <v>849</v>
      </c>
      <c r="J101" s="56"/>
      <c r="K101" s="56" t="s">
        <v>238</v>
      </c>
    </row>
    <row r="102" customFormat="false" ht="14.25" hidden="true" customHeight="true" outlineLevel="0" collapsed="false">
      <c r="A102" s="42" t="n">
        <v>78</v>
      </c>
      <c r="B102" s="42" t="s">
        <v>547</v>
      </c>
      <c r="C102" s="42" t="s">
        <v>51</v>
      </c>
      <c r="D102" s="60" t="s">
        <v>909</v>
      </c>
      <c r="E102" s="54"/>
      <c r="F102" s="54"/>
      <c r="G102" s="55"/>
      <c r="H102" s="55" t="s">
        <v>848</v>
      </c>
      <c r="I102" s="55" t="s">
        <v>849</v>
      </c>
      <c r="J102" s="56"/>
      <c r="K102" s="56" t="s">
        <v>548</v>
      </c>
    </row>
    <row r="103" customFormat="false" ht="14.25" hidden="true" customHeight="true" outlineLevel="0" collapsed="false">
      <c r="A103" s="42" t="n">
        <v>26</v>
      </c>
      <c r="B103" s="42" t="s">
        <v>251</v>
      </c>
      <c r="C103" s="42" t="s">
        <v>51</v>
      </c>
      <c r="D103" s="60" t="s">
        <v>909</v>
      </c>
      <c r="E103" s="54"/>
      <c r="F103" s="54"/>
      <c r="G103" s="55"/>
      <c r="H103" s="55" t="s">
        <v>848</v>
      </c>
      <c r="I103" s="55" t="s">
        <v>849</v>
      </c>
      <c r="J103" s="56"/>
      <c r="K103" s="56" t="s">
        <v>253</v>
      </c>
    </row>
    <row r="104" customFormat="false" ht="14.25" hidden="true" customHeight="true" outlineLevel="0" collapsed="false">
      <c r="A104" s="42" t="n">
        <v>5</v>
      </c>
      <c r="B104" s="42" t="s">
        <v>93</v>
      </c>
      <c r="C104" s="42" t="s">
        <v>90</v>
      </c>
      <c r="D104" s="60" t="s">
        <v>909</v>
      </c>
      <c r="E104" s="54"/>
      <c r="F104" s="54"/>
      <c r="G104" s="55"/>
      <c r="H104" s="55" t="s">
        <v>848</v>
      </c>
      <c r="I104" s="55" t="s">
        <v>849</v>
      </c>
      <c r="J104" s="56"/>
      <c r="K104" s="56" t="s">
        <v>95</v>
      </c>
    </row>
    <row r="105" customFormat="false" ht="14.25" hidden="true" customHeight="true" outlineLevel="0" collapsed="false">
      <c r="A105" s="42" t="n">
        <v>79</v>
      </c>
      <c r="B105" s="42" t="s">
        <v>415</v>
      </c>
      <c r="C105" s="42" t="s">
        <v>51</v>
      </c>
      <c r="D105" s="60" t="s">
        <v>909</v>
      </c>
      <c r="E105" s="54"/>
      <c r="F105" s="54"/>
      <c r="G105" s="55"/>
      <c r="H105" s="55" t="s">
        <v>848</v>
      </c>
      <c r="I105" s="55" t="s">
        <v>849</v>
      </c>
      <c r="J105" s="56"/>
      <c r="K105" s="56" t="s">
        <v>554</v>
      </c>
    </row>
    <row r="106" customFormat="false" ht="14.25" hidden="true" customHeight="true" outlineLevel="0" collapsed="false">
      <c r="A106" s="42" t="n">
        <v>54</v>
      </c>
      <c r="B106" s="42" t="s">
        <v>415</v>
      </c>
      <c r="C106" s="42" t="s">
        <v>51</v>
      </c>
      <c r="D106" s="60" t="s">
        <v>909</v>
      </c>
      <c r="E106" s="54"/>
      <c r="F106" s="54"/>
      <c r="G106" s="55"/>
      <c r="H106" s="55" t="s">
        <v>848</v>
      </c>
      <c r="I106" s="55" t="s">
        <v>849</v>
      </c>
      <c r="J106" s="56"/>
      <c r="K106" s="56" t="s">
        <v>416</v>
      </c>
    </row>
    <row r="107" customFormat="false" ht="14.25" hidden="true" customHeight="true" outlineLevel="0" collapsed="false">
      <c r="A107" s="42" t="n">
        <v>18</v>
      </c>
      <c r="B107" s="42" t="s">
        <v>194</v>
      </c>
      <c r="C107" s="42" t="s">
        <v>51</v>
      </c>
      <c r="D107" s="60" t="s">
        <v>909</v>
      </c>
      <c r="E107" s="54"/>
      <c r="F107" s="54"/>
      <c r="G107" s="55"/>
      <c r="H107" s="55" t="s">
        <v>848</v>
      </c>
      <c r="I107" s="55" t="s">
        <v>849</v>
      </c>
      <c r="J107" s="56"/>
      <c r="K107" s="56" t="s">
        <v>196</v>
      </c>
    </row>
    <row r="108" customFormat="false" ht="14.25" hidden="true" customHeight="true" outlineLevel="0" collapsed="false">
      <c r="A108" s="42" t="n">
        <v>71</v>
      </c>
      <c r="B108" s="42" t="s">
        <v>251</v>
      </c>
      <c r="C108" s="42" t="s">
        <v>51</v>
      </c>
      <c r="D108" s="60" t="s">
        <v>909</v>
      </c>
      <c r="E108" s="54"/>
      <c r="F108" s="54"/>
      <c r="G108" s="55"/>
      <c r="H108" s="55" t="s">
        <v>848</v>
      </c>
      <c r="I108" s="55" t="s">
        <v>849</v>
      </c>
      <c r="J108" s="56"/>
      <c r="K108" s="56" t="s">
        <v>505</v>
      </c>
    </row>
    <row r="109" customFormat="false" ht="14.25" hidden="true" customHeight="true" outlineLevel="0" collapsed="false">
      <c r="A109" s="42" t="n">
        <v>35</v>
      </c>
      <c r="B109" s="42" t="s">
        <v>304</v>
      </c>
      <c r="C109" s="42" t="s">
        <v>51</v>
      </c>
      <c r="D109" s="60" t="s">
        <v>909</v>
      </c>
      <c r="E109" s="54"/>
      <c r="F109" s="54"/>
      <c r="G109" s="55"/>
      <c r="H109" s="55" t="s">
        <v>848</v>
      </c>
      <c r="I109" s="55" t="s">
        <v>849</v>
      </c>
      <c r="J109" s="56"/>
      <c r="K109" s="56" t="s">
        <v>305</v>
      </c>
    </row>
    <row r="111" customFormat="false" ht="14.25" hidden="false" customHeight="true" outlineLevel="0" collapsed="false">
      <c r="A111" s="3" t="s">
        <v>910</v>
      </c>
    </row>
    <row r="112" customFormat="false" ht="14.25" hidden="false" customHeight="true" outlineLevel="0" collapsed="false">
      <c r="A112" s="61" t="s">
        <v>911</v>
      </c>
    </row>
  </sheetData>
  <autoFilter ref="A18:K109">
    <filterColumn colId="1">
      <filters>
        <filter val="Tania Alejandra Lira Villarreal"/>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12"/>
    <col collapsed="false" customWidth="true" hidden="false" outlineLevel="0" max="5" min="4" style="1" width="16"/>
    <col collapsed="false" customWidth="true" hidden="false" outlineLevel="0" max="6" min="6" style="1" width="14"/>
    <col collapsed="false" customWidth="true" hidden="false" outlineLevel="0" max="7" min="7" style="1" width="44"/>
    <col collapsed="false" customWidth="true" hidden="false" outlineLevel="0" max="8" min="8" style="1" width="56"/>
  </cols>
  <sheetData>
    <row r="1" customFormat="false" ht="19.5" hidden="false" customHeight="true" outlineLevel="0" collapsed="false">
      <c r="A1" s="62" t="s">
        <v>912</v>
      </c>
    </row>
    <row r="2" customFormat="false" ht="15" hidden="false" customHeight="true" outlineLevel="0" collapsed="false">
      <c r="A2" s="3" t="s">
        <v>913</v>
      </c>
    </row>
    <row r="3" customFormat="false" ht="15" hidden="false" customHeight="true" outlineLevel="0" collapsed="false">
      <c r="A3" s="17" t="s">
        <v>914</v>
      </c>
    </row>
    <row r="5" customFormat="false" ht="15" hidden="false" customHeight="true" outlineLevel="0" collapsed="false">
      <c r="A5" s="19" t="s">
        <v>915</v>
      </c>
      <c r="B5" s="19" t="s">
        <v>837</v>
      </c>
      <c r="C5" s="19" t="s">
        <v>31</v>
      </c>
      <c r="D5" s="19" t="s">
        <v>916</v>
      </c>
      <c r="E5" s="19" t="s">
        <v>36</v>
      </c>
      <c r="F5" s="19" t="s">
        <v>917</v>
      </c>
      <c r="G5" s="19" t="s">
        <v>918</v>
      </c>
      <c r="H5" s="19" t="s">
        <v>919</v>
      </c>
    </row>
    <row r="6" customFormat="false" ht="15" hidden="false" customHeight="true" outlineLevel="0" collapsed="false">
      <c r="A6" s="63" t="n">
        <v>1</v>
      </c>
      <c r="B6" s="63" t="s">
        <v>155</v>
      </c>
      <c r="C6" s="63" t="s">
        <v>90</v>
      </c>
      <c r="D6" s="63" t="s">
        <v>106</v>
      </c>
      <c r="E6" s="64" t="n">
        <v>644569</v>
      </c>
      <c r="F6" s="65" t="s">
        <v>920</v>
      </c>
      <c r="G6" s="66" t="s">
        <v>921</v>
      </c>
      <c r="H6" s="67" t="s">
        <v>581</v>
      </c>
    </row>
    <row r="7" customFormat="false" ht="15" hidden="false" customHeight="true" outlineLevel="0" collapsed="false">
      <c r="A7" s="63" t="n">
        <v>2</v>
      </c>
      <c r="B7" s="63" t="s">
        <v>82</v>
      </c>
      <c r="C7" s="63" t="s">
        <v>73</v>
      </c>
      <c r="D7" s="63" t="s">
        <v>83</v>
      </c>
      <c r="E7" s="64" t="n">
        <v>474000</v>
      </c>
      <c r="F7" s="68" t="s">
        <v>920</v>
      </c>
      <c r="G7" s="69" t="s">
        <v>922</v>
      </c>
      <c r="H7" s="67" t="s">
        <v>85</v>
      </c>
    </row>
    <row r="8" customFormat="false" ht="18.75" hidden="false" customHeight="true" outlineLevel="0" collapsed="false">
      <c r="A8" s="63" t="n">
        <v>3</v>
      </c>
      <c r="B8" s="70" t="s">
        <v>89</v>
      </c>
      <c r="C8" s="63" t="s">
        <v>90</v>
      </c>
      <c r="D8" s="63" t="s">
        <v>74</v>
      </c>
      <c r="E8" s="64" t="n">
        <v>438000</v>
      </c>
      <c r="F8" s="68" t="s">
        <v>920</v>
      </c>
      <c r="G8" s="69" t="s">
        <v>923</v>
      </c>
      <c r="H8" s="67" t="s">
        <v>92</v>
      </c>
    </row>
    <row r="9" customFormat="false" ht="18.75" hidden="false" customHeight="true" outlineLevel="0" collapsed="false">
      <c r="A9" s="63" t="n">
        <v>4</v>
      </c>
      <c r="B9" s="63" t="s">
        <v>82</v>
      </c>
      <c r="C9" s="63" t="s">
        <v>163</v>
      </c>
      <c r="D9" s="63" t="s">
        <v>83</v>
      </c>
      <c r="E9" s="64" t="n">
        <v>438000</v>
      </c>
      <c r="F9" s="68" t="s">
        <v>920</v>
      </c>
      <c r="G9" s="69" t="s">
        <v>924</v>
      </c>
      <c r="H9" s="67" t="s">
        <v>331</v>
      </c>
    </row>
    <row r="10" customFormat="false" ht="18.75" hidden="false" customHeight="true" outlineLevel="0" collapsed="false">
      <c r="A10" s="63" t="n">
        <v>5</v>
      </c>
      <c r="B10" s="63" t="s">
        <v>334</v>
      </c>
      <c r="C10" s="63" t="s">
        <v>61</v>
      </c>
      <c r="D10" s="63" t="s">
        <v>257</v>
      </c>
      <c r="E10" s="64" t="n">
        <v>438000</v>
      </c>
      <c r="F10" s="68" t="s">
        <v>920</v>
      </c>
      <c r="G10" s="69" t="s">
        <v>925</v>
      </c>
      <c r="H10" s="67" t="s">
        <v>336</v>
      </c>
    </row>
    <row r="11" customFormat="false" ht="18.75" hidden="false" customHeight="true" outlineLevel="0" collapsed="false">
      <c r="A11" s="63" t="n">
        <v>6</v>
      </c>
      <c r="B11" s="63" t="s">
        <v>82</v>
      </c>
      <c r="C11" s="63" t="s">
        <v>73</v>
      </c>
      <c r="D11" s="63" t="s">
        <v>83</v>
      </c>
      <c r="E11" s="64" t="n">
        <v>288000</v>
      </c>
      <c r="F11" s="68" t="s">
        <v>920</v>
      </c>
      <c r="G11" s="69" t="s">
        <v>926</v>
      </c>
      <c r="H11" s="67" t="s">
        <v>331</v>
      </c>
    </row>
    <row r="12" customFormat="false" ht="18.75" hidden="false" customHeight="true" outlineLevel="0" collapsed="false">
      <c r="A12" s="63" t="n">
        <v>7</v>
      </c>
      <c r="B12" s="63" t="s">
        <v>627</v>
      </c>
      <c r="C12" s="63" t="s">
        <v>51</v>
      </c>
      <c r="D12" s="63" t="s">
        <v>99</v>
      </c>
      <c r="E12" s="64" t="n">
        <v>208420</v>
      </c>
      <c r="F12" s="65" t="s">
        <v>920</v>
      </c>
      <c r="G12" s="66" t="s">
        <v>927</v>
      </c>
      <c r="H12" s="67" t="s">
        <v>630</v>
      </c>
    </row>
    <row r="13" customFormat="false" ht="15" hidden="false" customHeight="true" outlineLevel="0" collapsed="false">
      <c r="A13" s="63" t="n">
        <v>8</v>
      </c>
      <c r="B13" s="63" t="s">
        <v>155</v>
      </c>
      <c r="C13" s="63" t="s">
        <v>90</v>
      </c>
      <c r="D13" s="63" t="s">
        <v>106</v>
      </c>
      <c r="E13" s="64" t="n">
        <v>18173</v>
      </c>
      <c r="F13" s="65" t="s">
        <v>920</v>
      </c>
      <c r="G13" s="66" t="s">
        <v>928</v>
      </c>
      <c r="H13" s="67" t="s">
        <v>376</v>
      </c>
    </row>
    <row r="15" customFormat="false" ht="15" hidden="false" customHeight="true" outlineLevel="0" collapsed="false">
      <c r="D15" s="6" t="s">
        <v>929</v>
      </c>
      <c r="E15" s="71" t="n">
        <f aca="false">SUM(E6:E13)</f>
        <v>2947162</v>
      </c>
    </row>
    <row r="16" customFormat="false" ht="15" hidden="false" customHeight="true" outlineLevel="0" collapsed="false">
      <c r="D16" s="6" t="s">
        <v>930</v>
      </c>
      <c r="E16" s="72" t="n">
        <f aca="false">SUMIF(F6:F13,"Validado",E6:E13)</f>
        <v>0</v>
      </c>
    </row>
    <row r="18" customFormat="false" ht="15" hidden="false" customHeight="true" outlineLevel="0" collapsed="false">
      <c r="A18" s="3" t="s">
        <v>931</v>
      </c>
    </row>
    <row r="19" customFormat="false" ht="15" hidden="false" customHeight="true" outlineLevel="0" collapsed="false">
      <c r="A19" s="61" t="s">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2"/>
  <sheetViews>
    <sheetView showFormulas="false" showGridLines="false" showRowColHeaders="true" showZeros="true" rightToLeft="false" tabSelected="false" showOutlineSymbols="true" defaultGridColor="true" view="normal" topLeftCell="A6" colorId="64" zoomScale="100" zoomScaleNormal="100" zoomScalePageLayoutView="100" workbookViewId="0">
      <selection pane="topLeft" activeCell="J14" activeCellId="0" sqref="J14"/>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12"/>
    <col collapsed="false" customWidth="true" hidden="false" outlineLevel="0" max="4" min="4" style="1" width="9"/>
    <col collapsed="false" customWidth="true" hidden="false" outlineLevel="0" max="5" min="5" style="1" width="11"/>
    <col collapsed="false" customWidth="true" hidden="false" outlineLevel="0" max="6" min="6" style="1" width="15"/>
    <col collapsed="false" customWidth="true" hidden="false" outlineLevel="0" max="7" min="7" style="1" width="13"/>
  </cols>
  <sheetData>
    <row r="1" customFormat="false" ht="17.25" hidden="false" customHeight="true" outlineLevel="0" collapsed="false">
      <c r="A1" s="2" t="s">
        <v>933</v>
      </c>
    </row>
    <row r="2" customFormat="false" ht="15" hidden="false" customHeight="true" outlineLevel="0" collapsed="false">
      <c r="A2" s="17" t="s">
        <v>934</v>
      </c>
    </row>
    <row r="4" customFormat="false" ht="15" hidden="false" customHeight="true" outlineLevel="0" collapsed="false">
      <c r="A4" s="18" t="s">
        <v>915</v>
      </c>
      <c r="B4" s="18" t="s">
        <v>837</v>
      </c>
      <c r="C4" s="18" t="s">
        <v>31</v>
      </c>
      <c r="D4" s="18" t="s">
        <v>813</v>
      </c>
      <c r="E4" s="18" t="s">
        <v>814</v>
      </c>
      <c r="F4" s="18" t="s">
        <v>935</v>
      </c>
      <c r="G4" s="18" t="s">
        <v>936</v>
      </c>
    </row>
    <row r="5" customFormat="false" ht="15" hidden="false" customHeight="true" outlineLevel="0" collapsed="false">
      <c r="A5" s="73" t="n">
        <v>1</v>
      </c>
      <c r="B5" s="73" t="s">
        <v>172</v>
      </c>
      <c r="C5" s="73" t="s">
        <v>90</v>
      </c>
      <c r="D5" s="73" t="n">
        <f aca="false">COUNTIFS(Evaluación!$D$5:$D$139,$B5)</f>
        <v>5</v>
      </c>
      <c r="E5" s="73" t="n">
        <f aca="false">SUMIFS(Evaluación!$N$5:$N$139,Evaluación!$D$5:$D$139,$B5)</f>
        <v>1700</v>
      </c>
      <c r="F5" s="73" t="n">
        <f aca="false">E5*2</f>
        <v>3400</v>
      </c>
      <c r="G5" s="73" t="str">
        <f aca="false">IF(F5&gt;=2500,"Platino",IF(F5&gt;=1500,"Oro",IF(F5&gt;=600,"Plata","Bronce")))</f>
        <v>Platino</v>
      </c>
    </row>
    <row r="6" customFormat="false" ht="15" hidden="false" customHeight="true" outlineLevel="0" collapsed="false">
      <c r="A6" s="73" t="n">
        <v>2</v>
      </c>
      <c r="B6" s="73" t="s">
        <v>256</v>
      </c>
      <c r="C6" s="73" t="s">
        <v>90</v>
      </c>
      <c r="D6" s="73" t="n">
        <f aca="false">COUNTIFS(Evaluación!$D$5:$D$139,$B6)</f>
        <v>4</v>
      </c>
      <c r="E6" s="73" t="n">
        <f aca="false">SUMIFS(Evaluación!$N$5:$N$139,Evaluación!$D$5:$D$139,$B6)</f>
        <v>1600</v>
      </c>
      <c r="F6" s="73" t="n">
        <f aca="false">E6*2</f>
        <v>3200</v>
      </c>
      <c r="G6" s="73" t="str">
        <f aca="false">IF(F6&gt;=2500,"Platino",IF(F6&gt;=1500,"Oro",IF(F6&gt;=600,"Plata","Bronce")))</f>
        <v>Platino</v>
      </c>
    </row>
    <row r="7" customFormat="false" ht="15" hidden="false" customHeight="true" outlineLevel="0" collapsed="false">
      <c r="A7" s="73" t="n">
        <v>3</v>
      </c>
      <c r="B7" s="73" t="s">
        <v>82</v>
      </c>
      <c r="C7" s="73" t="s">
        <v>73</v>
      </c>
      <c r="D7" s="73" t="n">
        <f aca="false">COUNTIFS(Evaluación!$D$5:$D$139,$B7)</f>
        <v>3</v>
      </c>
      <c r="E7" s="73" t="n">
        <f aca="false">SUMIFS(Evaluación!$N$5:$N$139,Evaluación!$D$5:$D$139,$B7)</f>
        <v>1350</v>
      </c>
      <c r="F7" s="73" t="n">
        <f aca="false">E7*2</f>
        <v>2700</v>
      </c>
      <c r="G7" s="73" t="str">
        <f aca="false">IF(F7&gt;=2500,"Platino",IF(F7&gt;=1500,"Oro",IF(F7&gt;=600,"Plata","Bronce")))</f>
        <v>Platino</v>
      </c>
    </row>
    <row r="8" customFormat="false" ht="15" hidden="false" customHeight="true" outlineLevel="0" collapsed="false">
      <c r="A8" s="42" t="n">
        <v>4</v>
      </c>
      <c r="B8" s="42" t="s">
        <v>155</v>
      </c>
      <c r="C8" s="42" t="s">
        <v>90</v>
      </c>
      <c r="D8" s="42" t="n">
        <f aca="false">COUNTIFS(Evaluación!$D$5:$D$139,$B8)</f>
        <v>3</v>
      </c>
      <c r="E8" s="42" t="n">
        <f aca="false">SUMIFS(Evaluación!$N$5:$N$139,Evaluación!$D$5:$D$139,$B8)</f>
        <v>1300</v>
      </c>
      <c r="F8" s="42" t="n">
        <f aca="false">E8*2</f>
        <v>2600</v>
      </c>
      <c r="G8" s="42" t="str">
        <f aca="false">IF(F8&gt;=2500,"Platino",IF(F8&gt;=1500,"Oro",IF(F8&gt;=600,"Plata","Bronce")))</f>
        <v>Platino</v>
      </c>
    </row>
    <row r="9" customFormat="false" ht="15" hidden="false" customHeight="true" outlineLevel="0" collapsed="false">
      <c r="A9" s="42" t="n">
        <v>5</v>
      </c>
      <c r="B9" s="42" t="s">
        <v>435</v>
      </c>
      <c r="C9" s="42" t="s">
        <v>90</v>
      </c>
      <c r="D9" s="42" t="n">
        <f aca="false">COUNTIFS(Evaluación!$D$5:$D$139,$B9)</f>
        <v>5</v>
      </c>
      <c r="E9" s="42" t="n">
        <f aca="false">SUMIFS(Evaluación!$N$5:$N$139,Evaluación!$D$5:$D$139,$B9)</f>
        <v>1250</v>
      </c>
      <c r="F9" s="42" t="n">
        <f aca="false">E9*2</f>
        <v>2500</v>
      </c>
      <c r="G9" s="42" t="str">
        <f aca="false">IF(F9&gt;=2500,"Platino",IF(F9&gt;=1500,"Oro",IF(F9&gt;=600,"Plata","Bronce")))</f>
        <v>Platino</v>
      </c>
    </row>
    <row r="10" customFormat="false" ht="15" hidden="false" customHeight="true" outlineLevel="0" collapsed="false">
      <c r="A10" s="42" t="n">
        <v>6</v>
      </c>
      <c r="B10" s="42" t="s">
        <v>334</v>
      </c>
      <c r="C10" s="42" t="s">
        <v>61</v>
      </c>
      <c r="D10" s="42" t="n">
        <f aca="false">COUNTIFS(Evaluación!$D$5:$D$139,$B10)</f>
        <v>3</v>
      </c>
      <c r="E10" s="42" t="n">
        <f aca="false">SUMIFS(Evaluación!$N$5:$N$139,Evaluación!$D$5:$D$139,$B10)</f>
        <v>1100</v>
      </c>
      <c r="F10" s="42" t="n">
        <f aca="false">E10*2</f>
        <v>2200</v>
      </c>
      <c r="G10" s="42" t="str">
        <f aca="false">IF(F10&gt;=2500,"Platino",IF(F10&gt;=1500,"Oro",IF(F10&gt;=600,"Plata","Bronce")))</f>
        <v>Oro</v>
      </c>
    </row>
    <row r="11" customFormat="false" ht="15" hidden="false" customHeight="true" outlineLevel="0" collapsed="false">
      <c r="A11" s="42" t="n">
        <v>7</v>
      </c>
      <c r="B11" s="42" t="s">
        <v>341</v>
      </c>
      <c r="C11" s="42" t="s">
        <v>73</v>
      </c>
      <c r="D11" s="42" t="n">
        <f aca="false">COUNTIFS(Evaluación!$D$5:$D$139,$B11)</f>
        <v>3</v>
      </c>
      <c r="E11" s="42" t="n">
        <f aca="false">SUMIFS(Evaluación!$N$5:$N$139,Evaluación!$D$5:$D$139,$B11)</f>
        <v>1050</v>
      </c>
      <c r="F11" s="42" t="n">
        <f aca="false">E11*2</f>
        <v>2100</v>
      </c>
      <c r="G11" s="42" t="str">
        <f aca="false">IF(F11&gt;=2500,"Platino",IF(F11&gt;=1500,"Oro",IF(F11&gt;=600,"Plata","Bronce")))</f>
        <v>Oro</v>
      </c>
    </row>
    <row r="12" customFormat="false" ht="15" hidden="false" customHeight="true" outlineLevel="0" collapsed="false">
      <c r="A12" s="42" t="n">
        <v>8</v>
      </c>
      <c r="B12" s="42" t="s">
        <v>114</v>
      </c>
      <c r="C12" s="42" t="s">
        <v>90</v>
      </c>
      <c r="D12" s="42" t="n">
        <f aca="false">COUNTIFS(Evaluación!$D$5:$D$139,$B12)</f>
        <v>3</v>
      </c>
      <c r="E12" s="42" t="n">
        <f aca="false">SUMIFS(Evaluación!$N$5:$N$139,Evaluación!$D$5:$D$139,$B12)</f>
        <v>800</v>
      </c>
      <c r="F12" s="42" t="n">
        <f aca="false">E12*2</f>
        <v>1600</v>
      </c>
      <c r="G12" s="42" t="str">
        <f aca="false">IF(F12&gt;=2500,"Platino",IF(F12&gt;=1500,"Oro",IF(F12&gt;=600,"Plata","Bronce")))</f>
        <v>Oro</v>
      </c>
    </row>
    <row r="13" customFormat="false" ht="15" hidden="false" customHeight="true" outlineLevel="0" collapsed="false">
      <c r="A13" s="42" t="n">
        <v>9</v>
      </c>
      <c r="B13" s="42" t="s">
        <v>282</v>
      </c>
      <c r="C13" s="42" t="s">
        <v>51</v>
      </c>
      <c r="D13" s="42" t="n">
        <f aca="false">COUNTIFS(Evaluación!$D$5:$D$139,$B13)</f>
        <v>2</v>
      </c>
      <c r="E13" s="42" t="n">
        <f aca="false">SUMIFS(Evaluación!$N$5:$N$139,Evaluación!$D$5:$D$139,$B13)</f>
        <v>750</v>
      </c>
      <c r="F13" s="42" t="n">
        <f aca="false">E13*2</f>
        <v>1500</v>
      </c>
      <c r="G13" s="42" t="str">
        <f aca="false">IF(F13&gt;=2500,"Platino",IF(F13&gt;=1500,"Oro",IF(F13&gt;=600,"Plata","Bronce")))</f>
        <v>Oro</v>
      </c>
    </row>
    <row r="14" customFormat="false" ht="15" hidden="false" customHeight="true" outlineLevel="0" collapsed="false">
      <c r="A14" s="42" t="n">
        <v>10</v>
      </c>
      <c r="B14" s="42" t="s">
        <v>60</v>
      </c>
      <c r="C14" s="42" t="s">
        <v>61</v>
      </c>
      <c r="D14" s="42" t="n">
        <f aca="false">COUNTIFS(Evaluación!$D$5:$D$139,$B14)</f>
        <v>2</v>
      </c>
      <c r="E14" s="42" t="n">
        <f aca="false">SUMIFS(Evaluación!$N$5:$N$139,Evaluación!$D$5:$D$139,$B14)</f>
        <v>750</v>
      </c>
      <c r="F14" s="42" t="n">
        <f aca="false">E14*2</f>
        <v>1500</v>
      </c>
      <c r="G14" s="42" t="str">
        <f aca="false">IF(F14&gt;=2500,"Platino",IF(F14&gt;=1500,"Oro",IF(F14&gt;=600,"Plata","Bronce")))</f>
        <v>Oro</v>
      </c>
    </row>
    <row r="15" customFormat="false" ht="15" hidden="false" customHeight="true" outlineLevel="0" collapsed="false">
      <c r="A15" s="42" t="n">
        <v>11</v>
      </c>
      <c r="B15" s="42" t="s">
        <v>98</v>
      </c>
      <c r="C15" s="42" t="s">
        <v>73</v>
      </c>
      <c r="D15" s="42" t="n">
        <f aca="false">COUNTIFS(Evaluación!$D$5:$D$139,$B15)</f>
        <v>4</v>
      </c>
      <c r="E15" s="42" t="n">
        <f aca="false">SUMIFS(Evaluación!$N$5:$N$139,Evaluación!$D$5:$D$139,$B15)</f>
        <v>700</v>
      </c>
      <c r="F15" s="42" t="n">
        <f aca="false">E15*2</f>
        <v>1400</v>
      </c>
      <c r="G15" s="42" t="str">
        <f aca="false">IF(F15&gt;=2500,"Platino",IF(F15&gt;=1500,"Oro",IF(F15&gt;=600,"Plata","Bronce")))</f>
        <v>Plata</v>
      </c>
    </row>
    <row r="16" customFormat="false" ht="15" hidden="false" customHeight="true" outlineLevel="0" collapsed="false">
      <c r="A16" s="42" t="n">
        <v>12</v>
      </c>
      <c r="B16" s="42" t="s">
        <v>131</v>
      </c>
      <c r="C16" s="42" t="s">
        <v>90</v>
      </c>
      <c r="D16" s="42" t="n">
        <f aca="false">COUNTIFS(Evaluación!$D$5:$D$139,$B16)</f>
        <v>3</v>
      </c>
      <c r="E16" s="42" t="n">
        <f aca="false">SUMIFS(Evaluación!$N$5:$N$139,Evaluación!$D$5:$D$139,$B16)</f>
        <v>700</v>
      </c>
      <c r="F16" s="42" t="n">
        <f aca="false">E16*2</f>
        <v>1400</v>
      </c>
      <c r="G16" s="42" t="str">
        <f aca="false">IF(F16&gt;=2500,"Platino",IF(F16&gt;=1500,"Oro",IF(F16&gt;=600,"Plata","Bronce")))</f>
        <v>Plata</v>
      </c>
    </row>
    <row r="17" customFormat="false" ht="15" hidden="false" customHeight="true" outlineLevel="0" collapsed="false">
      <c r="A17" s="42" t="n">
        <v>13</v>
      </c>
      <c r="B17" s="42" t="s">
        <v>795</v>
      </c>
      <c r="C17" s="42" t="s">
        <v>790</v>
      </c>
      <c r="D17" s="42" t="n">
        <f aca="false">COUNTIFS(Evaluación!$D$5:$D$139,$B17)</f>
        <v>3</v>
      </c>
      <c r="E17" s="42" t="n">
        <f aca="false">SUMIFS(Evaluación!$N$5:$N$139,Evaluación!$D$5:$D$139,$B17)</f>
        <v>600</v>
      </c>
      <c r="F17" s="42" t="n">
        <f aca="false">E17*2</f>
        <v>1200</v>
      </c>
      <c r="G17" s="42" t="str">
        <f aca="false">IF(F17&gt;=2500,"Platino",IF(F17&gt;=1500,"Oro",IF(F17&gt;=600,"Plata","Bronce")))</f>
        <v>Plata</v>
      </c>
    </row>
    <row r="18" customFormat="false" ht="15" hidden="false" customHeight="true" outlineLevel="0" collapsed="false">
      <c r="A18" s="42" t="n">
        <v>14</v>
      </c>
      <c r="B18" s="42" t="s">
        <v>198</v>
      </c>
      <c r="C18" s="42" t="s">
        <v>51</v>
      </c>
      <c r="D18" s="42" t="n">
        <f aca="false">COUNTIFS(Evaluación!$D$5:$D$139,$B18)</f>
        <v>3</v>
      </c>
      <c r="E18" s="42" t="n">
        <f aca="false">SUMIFS(Evaluación!$N$5:$N$139,Evaluación!$D$5:$D$139,$B18)</f>
        <v>600</v>
      </c>
      <c r="F18" s="42" t="n">
        <f aca="false">E18*2</f>
        <v>1200</v>
      </c>
      <c r="G18" s="42" t="str">
        <f aca="false">IF(F18&gt;=2500,"Platino",IF(F18&gt;=1500,"Oro",IF(F18&gt;=600,"Plata","Bronce")))</f>
        <v>Plata</v>
      </c>
    </row>
    <row r="19" customFormat="false" ht="15" hidden="false" customHeight="true" outlineLevel="0" collapsed="false">
      <c r="A19" s="42" t="n">
        <v>15</v>
      </c>
      <c r="B19" s="42" t="s">
        <v>139</v>
      </c>
      <c r="C19" s="42" t="s">
        <v>90</v>
      </c>
      <c r="D19" s="42" t="n">
        <f aca="false">COUNTIFS(Evaluación!$D$5:$D$139,$B19)</f>
        <v>2</v>
      </c>
      <c r="E19" s="42" t="n">
        <f aca="false">SUMIFS(Evaluación!$N$5:$N$139,Evaluación!$D$5:$D$139,$B19)</f>
        <v>600</v>
      </c>
      <c r="F19" s="42" t="n">
        <f aca="false">E19*2</f>
        <v>1200</v>
      </c>
      <c r="G19" s="42" t="str">
        <f aca="false">IF(F19&gt;=2500,"Platino",IF(F19&gt;=1500,"Oro",IF(F19&gt;=600,"Plata","Bronce")))</f>
        <v>Plata</v>
      </c>
    </row>
    <row r="20" customFormat="false" ht="15" hidden="false" customHeight="true" outlineLevel="0" collapsed="false">
      <c r="A20" s="42" t="n">
        <v>16</v>
      </c>
      <c r="B20" s="42" t="s">
        <v>383</v>
      </c>
      <c r="C20" s="42" t="s">
        <v>73</v>
      </c>
      <c r="D20" s="42" t="n">
        <f aca="false">COUNTIFS(Evaluación!$D$5:$D$139,$B20)</f>
        <v>4</v>
      </c>
      <c r="E20" s="42" t="n">
        <f aca="false">SUMIFS(Evaluación!$N$5:$N$139,Evaluación!$D$5:$D$139,$B20)</f>
        <v>550</v>
      </c>
      <c r="F20" s="42" t="n">
        <f aca="false">E20*2</f>
        <v>1100</v>
      </c>
      <c r="G20" s="42" t="str">
        <f aca="false">IF(F20&gt;=2500,"Platino",IF(F20&gt;=1500,"Oro",IF(F20&gt;=600,"Plata","Bronce")))</f>
        <v>Plata</v>
      </c>
    </row>
    <row r="21" customFormat="false" ht="15" hidden="false" customHeight="true" outlineLevel="0" collapsed="false">
      <c r="A21" s="42" t="n">
        <v>17</v>
      </c>
      <c r="B21" s="42" t="s">
        <v>481</v>
      </c>
      <c r="C21" s="42" t="s">
        <v>90</v>
      </c>
      <c r="D21" s="42" t="n">
        <f aca="false">COUNTIFS(Evaluación!$D$5:$D$139,$B21)</f>
        <v>2</v>
      </c>
      <c r="E21" s="42" t="n">
        <f aca="false">SUMIFS(Evaluación!$N$5:$N$139,Evaluación!$D$5:$D$139,$B21)</f>
        <v>500</v>
      </c>
      <c r="F21" s="42" t="n">
        <f aca="false">E21*2</f>
        <v>1000</v>
      </c>
      <c r="G21" s="42" t="str">
        <f aca="false">IF(F21&gt;=2500,"Platino",IF(F21&gt;=1500,"Oro",IF(F21&gt;=600,"Plata","Bronce")))</f>
        <v>Plata</v>
      </c>
    </row>
    <row r="22" customFormat="false" ht="15" hidden="false" customHeight="true" outlineLevel="0" collapsed="false">
      <c r="A22" s="42" t="n">
        <v>18</v>
      </c>
      <c r="B22" s="42" t="s">
        <v>427</v>
      </c>
      <c r="C22" s="42" t="s">
        <v>61</v>
      </c>
      <c r="D22" s="42" t="n">
        <f aca="false">COUNTIFS(Evaluación!$D$5:$D$139,$B22)</f>
        <v>1</v>
      </c>
      <c r="E22" s="42" t="n">
        <f aca="false">SUMIFS(Evaluación!$N$5:$N$139,Evaluación!$D$5:$D$139,$B22)</f>
        <v>450</v>
      </c>
      <c r="F22" s="42" t="n">
        <f aca="false">E22*2</f>
        <v>900</v>
      </c>
      <c r="G22" s="42" t="str">
        <f aca="false">IF(F22&gt;=2500,"Platino",IF(F22&gt;=1500,"Oro",IF(F22&gt;=600,"Plata","Bronce")))</f>
        <v>Plata</v>
      </c>
    </row>
    <row r="23" customFormat="false" ht="15" hidden="false" customHeight="true" outlineLevel="0" collapsed="false">
      <c r="A23" s="42" t="n">
        <v>19</v>
      </c>
      <c r="B23" s="42" t="s">
        <v>323</v>
      </c>
      <c r="C23" s="42" t="s">
        <v>73</v>
      </c>
      <c r="D23" s="42" t="n">
        <f aca="false">COUNTIFS(Evaluación!$D$5:$D$139,$B23)</f>
        <v>1</v>
      </c>
      <c r="E23" s="42" t="n">
        <f aca="false">SUMIFS(Evaluación!$N$5:$N$139,Evaluación!$D$5:$D$139,$B23)</f>
        <v>450</v>
      </c>
      <c r="F23" s="42" t="n">
        <f aca="false">E23*2</f>
        <v>900</v>
      </c>
      <c r="G23" s="42" t="str">
        <f aca="false">IF(F23&gt;=2500,"Platino",IF(F23&gt;=1500,"Oro",IF(F23&gt;=600,"Plata","Bronce")))</f>
        <v>Plata</v>
      </c>
    </row>
    <row r="24" customFormat="false" ht="15" hidden="false" customHeight="true" outlineLevel="0" collapsed="false">
      <c r="A24" s="42" t="n">
        <v>20</v>
      </c>
      <c r="B24" s="42" t="s">
        <v>475</v>
      </c>
      <c r="C24" s="42" t="s">
        <v>90</v>
      </c>
      <c r="D24" s="42" t="n">
        <f aca="false">COUNTIFS(Evaluación!$D$5:$D$139,$B24)</f>
        <v>1</v>
      </c>
      <c r="E24" s="42" t="n">
        <f aca="false">SUMIFS(Evaluación!$N$5:$N$139,Evaluación!$D$5:$D$139,$B24)</f>
        <v>450</v>
      </c>
      <c r="F24" s="42" t="n">
        <f aca="false">E24*2</f>
        <v>900</v>
      </c>
      <c r="G24" s="42" t="str">
        <f aca="false">IF(F24&gt;=2500,"Platino",IF(F24&gt;=1500,"Oro",IF(F24&gt;=600,"Plata","Bronce")))</f>
        <v>Plata</v>
      </c>
    </row>
    <row r="25" customFormat="false" ht="15" hidden="false" customHeight="true" outlineLevel="0" collapsed="false">
      <c r="A25" s="42" t="n">
        <v>21</v>
      </c>
      <c r="B25" s="42" t="s">
        <v>213</v>
      </c>
      <c r="C25" s="42" t="s">
        <v>51</v>
      </c>
      <c r="D25" s="42" t="n">
        <f aca="false">COUNTIFS(Evaluación!$D$5:$D$139,$B25)</f>
        <v>3</v>
      </c>
      <c r="E25" s="42" t="n">
        <f aca="false">SUMIFS(Evaluación!$N$5:$N$139,Evaluación!$D$5:$D$139,$B25)</f>
        <v>450</v>
      </c>
      <c r="F25" s="42" t="n">
        <f aca="false">E25*2</f>
        <v>900</v>
      </c>
      <c r="G25" s="42" t="str">
        <f aca="false">IF(F25&gt;=2500,"Platino",IF(F25&gt;=1500,"Oro",IF(F25&gt;=600,"Plata","Bronce")))</f>
        <v>Plata</v>
      </c>
    </row>
    <row r="26" customFormat="false" ht="15" hidden="false" customHeight="true" outlineLevel="0" collapsed="false">
      <c r="A26" s="42" t="n">
        <v>22</v>
      </c>
      <c r="B26" s="42" t="s">
        <v>123</v>
      </c>
      <c r="C26" s="42" t="s">
        <v>51</v>
      </c>
      <c r="D26" s="42" t="n">
        <f aca="false">COUNTIFS(Evaluación!$D$5:$D$139,$B26)</f>
        <v>1</v>
      </c>
      <c r="E26" s="42" t="n">
        <f aca="false">SUMIFS(Evaluación!$N$5:$N$139,Evaluación!$D$5:$D$139,$B26)</f>
        <v>450</v>
      </c>
      <c r="F26" s="42" t="n">
        <f aca="false">E26*2</f>
        <v>900</v>
      </c>
      <c r="G26" s="42" t="str">
        <f aca="false">IF(F26&gt;=2500,"Platino",IF(F26&gt;=1500,"Oro",IF(F26&gt;=600,"Plata","Bronce")))</f>
        <v>Plata</v>
      </c>
    </row>
    <row r="27" customFormat="false" ht="15" hidden="false" customHeight="true" outlineLevel="0" collapsed="false">
      <c r="A27" s="42" t="n">
        <v>23</v>
      </c>
      <c r="B27" s="42" t="s">
        <v>507</v>
      </c>
      <c r="C27" s="42" t="s">
        <v>73</v>
      </c>
      <c r="D27" s="42" t="n">
        <f aca="false">COUNTIFS(Evaluación!$D$5:$D$139,$B27)</f>
        <v>1</v>
      </c>
      <c r="E27" s="42" t="n">
        <f aca="false">SUMIFS(Evaluación!$N$5:$N$139,Evaluación!$D$5:$D$139,$B27)</f>
        <v>450</v>
      </c>
      <c r="F27" s="42" t="n">
        <f aca="false">E27*2</f>
        <v>900</v>
      </c>
      <c r="G27" s="42" t="str">
        <f aca="false">IF(F27&gt;=2500,"Platino",IF(F27&gt;=1500,"Oro",IF(F27&gt;=600,"Plata","Bronce")))</f>
        <v>Plata</v>
      </c>
    </row>
    <row r="28" customFormat="false" ht="15" hidden="false" customHeight="true" outlineLevel="0" collapsed="false">
      <c r="A28" s="42" t="n">
        <v>24</v>
      </c>
      <c r="B28" s="42" t="s">
        <v>627</v>
      </c>
      <c r="C28" s="42" t="s">
        <v>51</v>
      </c>
      <c r="D28" s="42" t="n">
        <f aca="false">COUNTIFS(Evaluación!$D$5:$D$139,$B28)</f>
        <v>1</v>
      </c>
      <c r="E28" s="42" t="n">
        <f aca="false">SUMIFS(Evaluación!$N$5:$N$139,Evaluación!$D$5:$D$139,$B28)</f>
        <v>450</v>
      </c>
      <c r="F28" s="42" t="n">
        <f aca="false">E28*2</f>
        <v>900</v>
      </c>
      <c r="G28" s="42" t="str">
        <f aca="false">IF(F28&gt;=2500,"Platino",IF(F28&gt;=1500,"Oro",IF(F28&gt;=600,"Plata","Bronce")))</f>
        <v>Plata</v>
      </c>
    </row>
    <row r="29" customFormat="false" ht="15" hidden="false" customHeight="true" outlineLevel="0" collapsed="false">
      <c r="A29" s="42" t="n">
        <v>25</v>
      </c>
      <c r="B29" s="42" t="s">
        <v>89</v>
      </c>
      <c r="C29" s="42" t="s">
        <v>90</v>
      </c>
      <c r="D29" s="42" t="n">
        <f aca="false">COUNTIFS(Evaluación!$D$5:$D$139,$B29)</f>
        <v>2</v>
      </c>
      <c r="E29" s="42" t="n">
        <f aca="false">SUMIFS(Evaluación!$N$5:$N$139,Evaluación!$D$5:$D$139,$B29)</f>
        <v>450</v>
      </c>
      <c r="F29" s="42" t="n">
        <f aca="false">E29*2</f>
        <v>900</v>
      </c>
      <c r="G29" s="42" t="str">
        <f aca="false">IF(F29&gt;=2500,"Platino",IF(F29&gt;=1500,"Oro",IF(F29&gt;=600,"Plata","Bronce")))</f>
        <v>Plata</v>
      </c>
    </row>
    <row r="30" customFormat="false" ht="15" hidden="false" customHeight="true" outlineLevel="0" collapsed="false">
      <c r="A30" s="42" t="n">
        <v>26</v>
      </c>
      <c r="B30" s="42" t="s">
        <v>595</v>
      </c>
      <c r="C30" s="42" t="s">
        <v>73</v>
      </c>
      <c r="D30" s="42" t="n">
        <f aca="false">COUNTIFS(Evaluación!$D$5:$D$139,$B30)</f>
        <v>1</v>
      </c>
      <c r="E30" s="42" t="n">
        <f aca="false">SUMIFS(Evaluación!$N$5:$N$139,Evaluación!$D$5:$D$139,$B30)</f>
        <v>450</v>
      </c>
      <c r="F30" s="42" t="n">
        <f aca="false">E30*2</f>
        <v>900</v>
      </c>
      <c r="G30" s="42" t="str">
        <f aca="false">IF(F30&gt;=2500,"Platino",IF(F30&gt;=1500,"Oro",IF(F30&gt;=600,"Plata","Bronce")))</f>
        <v>Plata</v>
      </c>
    </row>
    <row r="31" customFormat="false" ht="15" hidden="false" customHeight="true" outlineLevel="0" collapsed="false">
      <c r="A31" s="42" t="n">
        <v>27</v>
      </c>
      <c r="B31" s="42" t="s">
        <v>640</v>
      </c>
      <c r="C31" s="42" t="s">
        <v>90</v>
      </c>
      <c r="D31" s="42" t="n">
        <f aca="false">COUNTIFS(Evaluación!$D$5:$D$139,$B31)</f>
        <v>1</v>
      </c>
      <c r="E31" s="42" t="n">
        <f aca="false">SUMIFS(Evaluación!$N$5:$N$139,Evaluación!$D$5:$D$139,$B31)</f>
        <v>450</v>
      </c>
      <c r="F31" s="42" t="n">
        <f aca="false">E31*2</f>
        <v>900</v>
      </c>
      <c r="G31" s="42" t="str">
        <f aca="false">IF(F31&gt;=2500,"Platino",IF(F31&gt;=1500,"Oro",IF(F31&gt;=600,"Plata","Bronce")))</f>
        <v>Plata</v>
      </c>
    </row>
    <row r="32" customFormat="false" ht="15" hidden="false" customHeight="true" outlineLevel="0" collapsed="false">
      <c r="A32" s="42" t="n">
        <v>28</v>
      </c>
      <c r="B32" s="42" t="s">
        <v>566</v>
      </c>
      <c r="C32" s="42" t="s">
        <v>90</v>
      </c>
      <c r="D32" s="42" t="n">
        <f aca="false">COUNTIFS(Evaluación!$D$5:$D$139,$B32)</f>
        <v>1</v>
      </c>
      <c r="E32" s="42" t="n">
        <f aca="false">SUMIFS(Evaluación!$N$5:$N$139,Evaluación!$D$5:$D$139,$B32)</f>
        <v>450</v>
      </c>
      <c r="F32" s="42" t="n">
        <f aca="false">E32*2</f>
        <v>900</v>
      </c>
      <c r="G32" s="42" t="str">
        <f aca="false">IF(F32&gt;=2500,"Platino",IF(F32&gt;=1500,"Oro",IF(F32&gt;=600,"Plata","Bronce")))</f>
        <v>Plata</v>
      </c>
    </row>
    <row r="33" customFormat="false" ht="15" hidden="false" customHeight="true" outlineLevel="0" collapsed="false">
      <c r="A33" s="42" t="n">
        <v>29</v>
      </c>
      <c r="B33" s="42" t="s">
        <v>755</v>
      </c>
      <c r="C33" s="42" t="s">
        <v>73</v>
      </c>
      <c r="D33" s="42" t="n">
        <f aca="false">COUNTIFS(Evaluación!$D$5:$D$139,$B33)</f>
        <v>1</v>
      </c>
      <c r="E33" s="42" t="n">
        <f aca="false">SUMIFS(Evaluación!$N$5:$N$139,Evaluación!$D$5:$D$139,$B33)</f>
        <v>450</v>
      </c>
      <c r="F33" s="42" t="n">
        <f aca="false">E33*2</f>
        <v>900</v>
      </c>
      <c r="G33" s="42" t="str">
        <f aca="false">IF(F33&gt;=2500,"Platino",IF(F33&gt;=1500,"Oro",IF(F33&gt;=600,"Plata","Bronce")))</f>
        <v>Plata</v>
      </c>
    </row>
    <row r="34" customFormat="false" ht="15" hidden="false" customHeight="true" outlineLevel="0" collapsed="false">
      <c r="A34" s="42" t="n">
        <v>30</v>
      </c>
      <c r="B34" s="42" t="s">
        <v>105</v>
      </c>
      <c r="C34" s="42" t="s">
        <v>51</v>
      </c>
      <c r="D34" s="42" t="n">
        <f aca="false">COUNTIFS(Evaluación!$D$5:$D$139,$B34)</f>
        <v>1</v>
      </c>
      <c r="E34" s="42" t="n">
        <f aca="false">SUMIFS(Evaluación!$N$5:$N$139,Evaluación!$D$5:$D$139,$B34)</f>
        <v>450</v>
      </c>
      <c r="F34" s="42" t="n">
        <f aca="false">E34*2</f>
        <v>900</v>
      </c>
      <c r="G34" s="42" t="str">
        <f aca="false">IF(F34&gt;=2500,"Platino",IF(F34&gt;=1500,"Oro",IF(F34&gt;=600,"Plata","Bronce")))</f>
        <v>Plata</v>
      </c>
    </row>
    <row r="35" customFormat="false" ht="15" hidden="false" customHeight="true" outlineLevel="0" collapsed="false">
      <c r="A35" s="42" t="n">
        <v>31</v>
      </c>
      <c r="B35" s="42" t="s">
        <v>264</v>
      </c>
      <c r="C35" s="42" t="s">
        <v>51</v>
      </c>
      <c r="D35" s="42" t="n">
        <f aca="false">COUNTIFS(Evaluación!$D$5:$D$139,$B35)</f>
        <v>1</v>
      </c>
      <c r="E35" s="42" t="n">
        <f aca="false">SUMIFS(Evaluación!$N$5:$N$139,Evaluación!$D$5:$D$139,$B35)</f>
        <v>450</v>
      </c>
      <c r="F35" s="42" t="n">
        <f aca="false">E35*2</f>
        <v>900</v>
      </c>
      <c r="G35" s="42" t="str">
        <f aca="false">IF(F35&gt;=2500,"Platino",IF(F35&gt;=1500,"Oro",IF(F35&gt;=600,"Plata","Bronce")))</f>
        <v>Plata</v>
      </c>
    </row>
    <row r="36" customFormat="false" ht="15" hidden="false" customHeight="true" outlineLevel="0" collapsed="false">
      <c r="A36" s="42" t="n">
        <v>32</v>
      </c>
      <c r="B36" s="42" t="s">
        <v>271</v>
      </c>
      <c r="C36" s="42" t="s">
        <v>163</v>
      </c>
      <c r="D36" s="42" t="n">
        <f aca="false">COUNTIFS(Evaluación!$D$5:$D$139,$B36)</f>
        <v>1</v>
      </c>
      <c r="E36" s="42" t="n">
        <f aca="false">SUMIFS(Evaluación!$N$5:$N$139,Evaluación!$D$5:$D$139,$B36)</f>
        <v>450</v>
      </c>
      <c r="F36" s="42" t="n">
        <f aca="false">E36*2</f>
        <v>900</v>
      </c>
      <c r="G36" s="42" t="str">
        <f aca="false">IF(F36&gt;=2500,"Platino",IF(F36&gt;=1500,"Oro",IF(F36&gt;=600,"Plata","Bronce")))</f>
        <v>Plata</v>
      </c>
    </row>
    <row r="37" customFormat="false" ht="15" hidden="false" customHeight="true" outlineLevel="0" collapsed="false">
      <c r="A37" s="42" t="n">
        <v>33</v>
      </c>
      <c r="B37" s="42" t="s">
        <v>359</v>
      </c>
      <c r="C37" s="42" t="s">
        <v>163</v>
      </c>
      <c r="D37" s="42" t="n">
        <f aca="false">COUNTIFS(Evaluación!$D$5:$D$139,$B37)</f>
        <v>1</v>
      </c>
      <c r="E37" s="42" t="n">
        <f aca="false">SUMIFS(Evaluación!$N$5:$N$139,Evaluación!$D$5:$D$139,$B37)</f>
        <v>400</v>
      </c>
      <c r="F37" s="42" t="n">
        <f aca="false">E37*2</f>
        <v>800</v>
      </c>
      <c r="G37" s="42" t="str">
        <f aca="false">IF(F37&gt;=2500,"Platino",IF(F37&gt;=1500,"Oro",IF(F37&gt;=600,"Plata","Bronce")))</f>
        <v>Plata</v>
      </c>
    </row>
    <row r="38" customFormat="false" ht="15" hidden="false" customHeight="true" outlineLevel="0" collapsed="false">
      <c r="A38" s="42" t="n">
        <v>34</v>
      </c>
      <c r="B38" s="42" t="s">
        <v>538</v>
      </c>
      <c r="C38" s="42" t="s">
        <v>51</v>
      </c>
      <c r="D38" s="42" t="n">
        <f aca="false">COUNTIFS(Evaluación!$D$5:$D$139,$B38)</f>
        <v>2</v>
      </c>
      <c r="E38" s="42" t="n">
        <f aca="false">SUMIFS(Evaluación!$N$5:$N$139,Evaluación!$D$5:$D$139,$B38)</f>
        <v>400</v>
      </c>
      <c r="F38" s="42" t="n">
        <f aca="false">E38*2</f>
        <v>800</v>
      </c>
      <c r="G38" s="42" t="str">
        <f aca="false">IF(F38&gt;=2500,"Platino",IF(F38&gt;=1500,"Oro",IF(F38&gt;=600,"Plata","Bronce")))</f>
        <v>Plata</v>
      </c>
    </row>
    <row r="39" customFormat="false" ht="15" hidden="false" customHeight="true" outlineLevel="0" collapsed="false">
      <c r="A39" s="42" t="n">
        <v>35</v>
      </c>
      <c r="B39" s="42" t="s">
        <v>731</v>
      </c>
      <c r="C39" s="42" t="s">
        <v>90</v>
      </c>
      <c r="D39" s="42" t="n">
        <f aca="false">COUNTIFS(Evaluación!$D$5:$D$139,$B39)</f>
        <v>1</v>
      </c>
      <c r="E39" s="42" t="n">
        <f aca="false">SUMIFS(Evaluación!$N$5:$N$139,Evaluación!$D$5:$D$139,$B39)</f>
        <v>400</v>
      </c>
      <c r="F39" s="42" t="n">
        <f aca="false">E39*2</f>
        <v>800</v>
      </c>
      <c r="G39" s="42" t="str">
        <f aca="false">IF(F39&gt;=2500,"Platino",IF(F39&gt;=1500,"Oro",IF(F39&gt;=600,"Plata","Bronce")))</f>
        <v>Plata</v>
      </c>
    </row>
    <row r="40" customFormat="false" ht="15" hidden="false" customHeight="true" outlineLevel="0" collapsed="false">
      <c r="A40" s="42" t="n">
        <v>36</v>
      </c>
      <c r="B40" s="42" t="s">
        <v>277</v>
      </c>
      <c r="C40" s="42" t="s">
        <v>51</v>
      </c>
      <c r="D40" s="42" t="n">
        <f aca="false">COUNTIFS(Evaluación!$D$5:$D$139,$B40)</f>
        <v>1</v>
      </c>
      <c r="E40" s="42" t="n">
        <f aca="false">SUMIFS(Evaluación!$N$5:$N$139,Evaluación!$D$5:$D$139,$B40)</f>
        <v>400</v>
      </c>
      <c r="F40" s="42" t="n">
        <f aca="false">E40*2</f>
        <v>800</v>
      </c>
      <c r="G40" s="42" t="str">
        <f aca="false">IF(F40&gt;=2500,"Platino",IF(F40&gt;=1500,"Oro",IF(F40&gt;=600,"Plata","Bronce")))</f>
        <v>Plata</v>
      </c>
    </row>
    <row r="41" customFormat="false" ht="15" hidden="false" customHeight="true" outlineLevel="0" collapsed="false">
      <c r="A41" s="42" t="n">
        <v>37</v>
      </c>
      <c r="B41" s="42" t="s">
        <v>239</v>
      </c>
      <c r="C41" s="42" t="s">
        <v>51</v>
      </c>
      <c r="D41" s="42" t="n">
        <f aca="false">COUNTIFS(Evaluación!$D$5:$D$139,$B41)</f>
        <v>1</v>
      </c>
      <c r="E41" s="42" t="n">
        <f aca="false">SUMIFS(Evaluación!$N$5:$N$139,Evaluación!$D$5:$D$139,$B41)</f>
        <v>400</v>
      </c>
      <c r="F41" s="42" t="n">
        <f aca="false">E41*2</f>
        <v>800</v>
      </c>
      <c r="G41" s="42" t="str">
        <f aca="false">IF(F41&gt;=2500,"Platino",IF(F41&gt;=1500,"Oro",IF(F41&gt;=600,"Plata","Bronce")))</f>
        <v>Plata</v>
      </c>
    </row>
    <row r="42" customFormat="false" ht="15" hidden="false" customHeight="true" outlineLevel="0" collapsed="false">
      <c r="A42" s="42" t="n">
        <v>38</v>
      </c>
      <c r="B42" s="42" t="s">
        <v>247</v>
      </c>
      <c r="C42" s="42" t="s">
        <v>51</v>
      </c>
      <c r="D42" s="42" t="n">
        <f aca="false">COUNTIFS(Evaluación!$D$5:$D$139,$B42)</f>
        <v>2</v>
      </c>
      <c r="E42" s="42" t="n">
        <f aca="false">SUMIFS(Evaluación!$N$5:$N$139,Evaluación!$D$5:$D$139,$B42)</f>
        <v>400</v>
      </c>
      <c r="F42" s="42" t="n">
        <f aca="false">E42*2</f>
        <v>800</v>
      </c>
      <c r="G42" s="42" t="str">
        <f aca="false">IF(F42&gt;=2500,"Platino",IF(F42&gt;=1500,"Oro",IF(F42&gt;=600,"Plata","Bronce")))</f>
        <v>Plata</v>
      </c>
    </row>
    <row r="43" customFormat="false" ht="15" hidden="false" customHeight="true" outlineLevel="0" collapsed="false">
      <c r="A43" s="42" t="n">
        <v>39</v>
      </c>
      <c r="B43" s="42" t="s">
        <v>751</v>
      </c>
      <c r="C43" s="42" t="s">
        <v>163</v>
      </c>
      <c r="D43" s="42" t="n">
        <f aca="false">COUNTIFS(Evaluación!$D$5:$D$139,$B43)</f>
        <v>1</v>
      </c>
      <c r="E43" s="42" t="n">
        <f aca="false">SUMIFS(Evaluación!$N$5:$N$139,Evaluación!$D$5:$D$139,$B43)</f>
        <v>300</v>
      </c>
      <c r="F43" s="42" t="n">
        <f aca="false">E43*2</f>
        <v>600</v>
      </c>
      <c r="G43" s="42" t="str">
        <f aca="false">IF(F43&gt;=2500,"Platino",IF(F43&gt;=1500,"Oro",IF(F43&gt;=600,"Plata","Bronce")))</f>
        <v>Plata</v>
      </c>
    </row>
    <row r="44" customFormat="false" ht="15" hidden="false" customHeight="true" outlineLevel="0" collapsed="false">
      <c r="A44" s="42" t="n">
        <v>40</v>
      </c>
      <c r="B44" s="42" t="s">
        <v>519</v>
      </c>
      <c r="C44" s="42" t="s">
        <v>163</v>
      </c>
      <c r="D44" s="42" t="n">
        <f aca="false">COUNTIFS(Evaluación!$D$5:$D$139,$B44)</f>
        <v>1</v>
      </c>
      <c r="E44" s="42" t="n">
        <f aca="false">SUMIFS(Evaluación!$N$5:$N$139,Evaluación!$D$5:$D$139,$B44)</f>
        <v>300</v>
      </c>
      <c r="F44" s="42" t="n">
        <f aca="false">E44*2</f>
        <v>600</v>
      </c>
      <c r="G44" s="42" t="str">
        <f aca="false">IF(F44&gt;=2500,"Platino",IF(F44&gt;=1500,"Oro",IF(F44&gt;=600,"Plata","Bronce")))</f>
        <v>Plata</v>
      </c>
    </row>
    <row r="45" customFormat="false" ht="15" hidden="false" customHeight="true" outlineLevel="0" collapsed="false">
      <c r="A45" s="42" t="n">
        <v>41</v>
      </c>
      <c r="B45" s="42" t="s">
        <v>696</v>
      </c>
      <c r="C45" s="42" t="s">
        <v>73</v>
      </c>
      <c r="D45" s="42" t="n">
        <f aca="false">COUNTIFS(Evaluación!$D$5:$D$139,$B45)</f>
        <v>1</v>
      </c>
      <c r="E45" s="42" t="n">
        <f aca="false">SUMIFS(Evaluación!$N$5:$N$139,Evaluación!$D$5:$D$139,$B45)</f>
        <v>300</v>
      </c>
      <c r="F45" s="42" t="n">
        <f aca="false">E45*2</f>
        <v>600</v>
      </c>
      <c r="G45" s="42" t="str">
        <f aca="false">IF(F45&gt;=2500,"Platino",IF(F45&gt;=1500,"Oro",IF(F45&gt;=600,"Plata","Bronce")))</f>
        <v>Plata</v>
      </c>
    </row>
    <row r="46" customFormat="false" ht="15" hidden="false" customHeight="true" outlineLevel="0" collapsed="false">
      <c r="A46" s="42" t="n">
        <v>42</v>
      </c>
      <c r="B46" s="42" t="s">
        <v>736</v>
      </c>
      <c r="C46" s="42" t="s">
        <v>90</v>
      </c>
      <c r="D46" s="42" t="n">
        <f aca="false">COUNTIFS(Evaluación!$D$5:$D$139,$B46)</f>
        <v>1</v>
      </c>
      <c r="E46" s="42" t="n">
        <f aca="false">SUMIFS(Evaluación!$N$5:$N$139,Evaluación!$D$5:$D$139,$B46)</f>
        <v>300</v>
      </c>
      <c r="F46" s="42" t="n">
        <f aca="false">E46*2</f>
        <v>600</v>
      </c>
      <c r="G46" s="42" t="str">
        <f aca="false">IF(F46&gt;=2500,"Platino",IF(F46&gt;=1500,"Oro",IF(F46&gt;=600,"Plata","Bronce")))</f>
        <v>Plata</v>
      </c>
    </row>
    <row r="47" customFormat="false" ht="15" hidden="false" customHeight="true" outlineLevel="0" collapsed="false">
      <c r="A47" s="42" t="n">
        <v>43</v>
      </c>
      <c r="B47" s="42" t="s">
        <v>366</v>
      </c>
      <c r="C47" s="42" t="s">
        <v>163</v>
      </c>
      <c r="D47" s="42" t="n">
        <f aca="false">COUNTIFS(Evaluación!$D$5:$D$139,$B47)</f>
        <v>1</v>
      </c>
      <c r="E47" s="42" t="n">
        <f aca="false">SUMIFS(Evaluación!$N$5:$N$139,Evaluación!$D$5:$D$139,$B47)</f>
        <v>300</v>
      </c>
      <c r="F47" s="42" t="n">
        <f aca="false">E47*2</f>
        <v>600</v>
      </c>
      <c r="G47" s="42" t="str">
        <f aca="false">IF(F47&gt;=2500,"Platino",IF(F47&gt;=1500,"Oro",IF(F47&gt;=600,"Plata","Bronce")))</f>
        <v>Plata</v>
      </c>
    </row>
    <row r="48" customFormat="false" ht="15" hidden="false" customHeight="true" outlineLevel="0" collapsed="false">
      <c r="A48" s="42" t="n">
        <v>44</v>
      </c>
      <c r="B48" s="42" t="s">
        <v>711</v>
      </c>
      <c r="C48" s="42" t="s">
        <v>61</v>
      </c>
      <c r="D48" s="42" t="n">
        <f aca="false">COUNTIFS(Evaluación!$D$5:$D$139,$B48)</f>
        <v>1</v>
      </c>
      <c r="E48" s="42" t="n">
        <f aca="false">SUMIFS(Evaluación!$N$5:$N$139,Evaluación!$D$5:$D$139,$B48)</f>
        <v>300</v>
      </c>
      <c r="F48" s="42" t="n">
        <f aca="false">E48*2</f>
        <v>600</v>
      </c>
      <c r="G48" s="42" t="str">
        <f aca="false">IF(F48&gt;=2500,"Platino",IF(F48&gt;=1500,"Oro",IF(F48&gt;=600,"Plata","Bronce")))</f>
        <v>Plata</v>
      </c>
    </row>
    <row r="49" customFormat="false" ht="15" hidden="false" customHeight="true" outlineLevel="0" collapsed="false">
      <c r="A49" s="42" t="n">
        <v>45</v>
      </c>
      <c r="B49" s="42" t="s">
        <v>412</v>
      </c>
      <c r="C49" s="42" t="s">
        <v>51</v>
      </c>
      <c r="D49" s="42" t="n">
        <f aca="false">COUNTIFS(Evaluación!$D$5:$D$139,$B49)</f>
        <v>1</v>
      </c>
      <c r="E49" s="42" t="n">
        <f aca="false">SUMIFS(Evaluación!$N$5:$N$139,Evaluación!$D$5:$D$139,$B49)</f>
        <v>300</v>
      </c>
      <c r="F49" s="42" t="n">
        <f aca="false">E49*2</f>
        <v>600</v>
      </c>
      <c r="G49" s="42" t="str">
        <f aca="false">IF(F49&gt;=2500,"Platino",IF(F49&gt;=1500,"Oro",IF(F49&gt;=600,"Plata","Bronce")))</f>
        <v>Plata</v>
      </c>
    </row>
    <row r="50" customFormat="false" ht="15" hidden="false" customHeight="true" outlineLevel="0" collapsed="false">
      <c r="A50" s="42" t="n">
        <v>46</v>
      </c>
      <c r="B50" s="42" t="s">
        <v>455</v>
      </c>
      <c r="C50" s="42" t="s">
        <v>163</v>
      </c>
      <c r="D50" s="42" t="n">
        <f aca="false">COUNTIFS(Evaluación!$D$5:$D$139,$B50)</f>
        <v>1</v>
      </c>
      <c r="E50" s="42" t="n">
        <f aca="false">SUMIFS(Evaluación!$N$5:$N$139,Evaluación!$D$5:$D$139,$B50)</f>
        <v>300</v>
      </c>
      <c r="F50" s="42" t="n">
        <f aca="false">E50*2</f>
        <v>600</v>
      </c>
      <c r="G50" s="42" t="str">
        <f aca="false">IF(F50&gt;=2500,"Platino",IF(F50&gt;=1500,"Oro",IF(F50&gt;=600,"Plata","Bronce")))</f>
        <v>Plata</v>
      </c>
    </row>
    <row r="51" customFormat="false" ht="15" hidden="false" customHeight="true" outlineLevel="0" collapsed="false">
      <c r="A51" s="42" t="n">
        <v>47</v>
      </c>
      <c r="B51" s="42" t="s">
        <v>588</v>
      </c>
      <c r="C51" s="42" t="s">
        <v>61</v>
      </c>
      <c r="D51" s="42" t="n">
        <f aca="false">COUNTIFS(Evaluación!$D$5:$D$139,$B51)</f>
        <v>1</v>
      </c>
      <c r="E51" s="42" t="n">
        <f aca="false">SUMIFS(Evaluación!$N$5:$N$139,Evaluación!$D$5:$D$139,$B51)</f>
        <v>300</v>
      </c>
      <c r="F51" s="42" t="n">
        <f aca="false">E51*2</f>
        <v>600</v>
      </c>
      <c r="G51" s="42" t="str">
        <f aca="false">IF(F51&gt;=2500,"Platino",IF(F51&gt;=1500,"Oro",IF(F51&gt;=600,"Plata","Bronce")))</f>
        <v>Plata</v>
      </c>
    </row>
    <row r="52" customFormat="false" ht="15" hidden="false" customHeight="true" outlineLevel="0" collapsed="false">
      <c r="A52" s="42" t="n">
        <v>48</v>
      </c>
      <c r="B52" s="42" t="s">
        <v>551</v>
      </c>
      <c r="C52" s="42" t="s">
        <v>51</v>
      </c>
      <c r="D52" s="42" t="n">
        <f aca="false">COUNTIFS(Evaluación!$D$5:$D$139,$B52)</f>
        <v>1</v>
      </c>
      <c r="E52" s="42" t="n">
        <f aca="false">SUMIFS(Evaluación!$N$5:$N$139,Evaluación!$D$5:$D$139,$B52)</f>
        <v>300</v>
      </c>
      <c r="F52" s="42" t="n">
        <f aca="false">E52*2</f>
        <v>600</v>
      </c>
      <c r="G52" s="42" t="str">
        <f aca="false">IF(F52&gt;=2500,"Platino",IF(F52&gt;=1500,"Oro",IF(F52&gt;=600,"Plata","Bronce")))</f>
        <v>Plata</v>
      </c>
    </row>
    <row r="53" customFormat="false" ht="15" hidden="false" customHeight="true" outlineLevel="0" collapsed="false">
      <c r="A53" s="42" t="n">
        <v>49</v>
      </c>
      <c r="B53" s="42" t="s">
        <v>393</v>
      </c>
      <c r="C53" s="42" t="s">
        <v>61</v>
      </c>
      <c r="D53" s="42" t="n">
        <f aca="false">COUNTIFS(Evaluación!$D$5:$D$139,$B53)</f>
        <v>1</v>
      </c>
      <c r="E53" s="42" t="n">
        <f aca="false">SUMIFS(Evaluación!$N$5:$N$139,Evaluación!$D$5:$D$139,$B53)</f>
        <v>300</v>
      </c>
      <c r="F53" s="42" t="n">
        <f aca="false">E53*2</f>
        <v>600</v>
      </c>
      <c r="G53" s="42" t="str">
        <f aca="false">IF(F53&gt;=2500,"Platino",IF(F53&gt;=1500,"Oro",IF(F53&gt;=600,"Plata","Bronce")))</f>
        <v>Plata</v>
      </c>
    </row>
    <row r="54" customFormat="false" ht="15" hidden="false" customHeight="true" outlineLevel="0" collapsed="false">
      <c r="A54" s="42" t="n">
        <v>50</v>
      </c>
      <c r="B54" s="42" t="s">
        <v>406</v>
      </c>
      <c r="C54" s="42" t="s">
        <v>73</v>
      </c>
      <c r="D54" s="42" t="n">
        <f aca="false">COUNTIFS(Evaluación!$D$5:$D$139,$B54)</f>
        <v>1</v>
      </c>
      <c r="E54" s="42" t="n">
        <f aca="false">SUMIFS(Evaluación!$N$5:$N$139,Evaluación!$D$5:$D$139,$B54)</f>
        <v>300</v>
      </c>
      <c r="F54" s="42" t="n">
        <f aca="false">E54*2</f>
        <v>600</v>
      </c>
      <c r="G54" s="42" t="str">
        <f aca="false">IF(F54&gt;=2500,"Platino",IF(F54&gt;=1500,"Oro",IF(F54&gt;=600,"Plata","Bronce")))</f>
        <v>Plata</v>
      </c>
    </row>
    <row r="55" customFormat="false" ht="15" hidden="false" customHeight="true" outlineLevel="0" collapsed="false">
      <c r="A55" s="42" t="n">
        <v>51</v>
      </c>
      <c r="B55" s="42" t="s">
        <v>222</v>
      </c>
      <c r="C55" s="42" t="s">
        <v>51</v>
      </c>
      <c r="D55" s="42" t="n">
        <f aca="false">COUNTIFS(Evaluación!$D$5:$D$139,$B55)</f>
        <v>1</v>
      </c>
      <c r="E55" s="42" t="n">
        <f aca="false">SUMIFS(Evaluación!$N$5:$N$139,Evaluación!$D$5:$D$139,$B55)</f>
        <v>300</v>
      </c>
      <c r="F55" s="42" t="n">
        <f aca="false">E55*2</f>
        <v>600</v>
      </c>
      <c r="G55" s="42" t="str">
        <f aca="false">IF(F55&gt;=2500,"Platino",IF(F55&gt;=1500,"Oro",IF(F55&gt;=600,"Plata","Bronce")))</f>
        <v>Plata</v>
      </c>
    </row>
    <row r="56" customFormat="false" ht="15" hidden="false" customHeight="true" outlineLevel="0" collapsed="false">
      <c r="A56" s="42" t="n">
        <v>52</v>
      </c>
      <c r="B56" s="42" t="s">
        <v>462</v>
      </c>
      <c r="C56" s="42" t="s">
        <v>51</v>
      </c>
      <c r="D56" s="42" t="n">
        <f aca="false">COUNTIFS(Evaluación!$D$5:$D$139,$B56)</f>
        <v>1</v>
      </c>
      <c r="E56" s="42" t="n">
        <f aca="false">SUMIFS(Evaluación!$N$5:$N$139,Evaluación!$D$5:$D$139,$B56)</f>
        <v>300</v>
      </c>
      <c r="F56" s="42" t="n">
        <f aca="false">E56*2</f>
        <v>600</v>
      </c>
      <c r="G56" s="42" t="str">
        <f aca="false">IF(F56&gt;=2500,"Platino",IF(F56&gt;=1500,"Oro",IF(F56&gt;=600,"Plata","Bronce")))</f>
        <v>Plata</v>
      </c>
    </row>
    <row r="57" customFormat="false" ht="15" hidden="false" customHeight="true" outlineLevel="0" collapsed="false">
      <c r="A57" s="42" t="n">
        <v>53</v>
      </c>
      <c r="B57" s="42" t="s">
        <v>544</v>
      </c>
      <c r="C57" s="42" t="s">
        <v>51</v>
      </c>
      <c r="D57" s="42" t="n">
        <f aca="false">COUNTIFS(Evaluación!$D$5:$D$139,$B57)</f>
        <v>1</v>
      </c>
      <c r="E57" s="42" t="n">
        <f aca="false">SUMIFS(Evaluación!$N$5:$N$139,Evaluación!$D$5:$D$139,$B57)</f>
        <v>300</v>
      </c>
      <c r="F57" s="42" t="n">
        <f aca="false">E57*2</f>
        <v>600</v>
      </c>
      <c r="G57" s="42" t="str">
        <f aca="false">IF(F57&gt;=2500,"Platino",IF(F57&gt;=1500,"Oro",IF(F57&gt;=600,"Plata","Bronce")))</f>
        <v>Plata</v>
      </c>
    </row>
    <row r="58" customFormat="false" ht="15" hidden="false" customHeight="true" outlineLevel="0" collapsed="false">
      <c r="A58" s="42" t="n">
        <v>54</v>
      </c>
      <c r="B58" s="42" t="s">
        <v>746</v>
      </c>
      <c r="C58" s="42" t="s">
        <v>163</v>
      </c>
      <c r="D58" s="42" t="n">
        <f aca="false">COUNTIFS(Evaluación!$D$5:$D$139,$B58)</f>
        <v>1</v>
      </c>
      <c r="E58" s="42" t="n">
        <f aca="false">SUMIFS(Evaluación!$N$5:$N$139,Evaluación!$D$5:$D$139,$B58)</f>
        <v>250</v>
      </c>
      <c r="F58" s="42" t="n">
        <f aca="false">E58*2</f>
        <v>500</v>
      </c>
      <c r="G58" s="42" t="str">
        <f aca="false">IF(F58&gt;=2500,"Platino",IF(F58&gt;=1500,"Oro",IF(F58&gt;=600,"Plata","Bronce")))</f>
        <v>Bronce</v>
      </c>
    </row>
    <row r="59" customFormat="false" ht="15" hidden="false" customHeight="true" outlineLevel="0" collapsed="false">
      <c r="A59" s="42" t="n">
        <v>55</v>
      </c>
      <c r="B59" s="42" t="s">
        <v>658</v>
      </c>
      <c r="C59" s="42" t="s">
        <v>90</v>
      </c>
      <c r="D59" s="42" t="n">
        <f aca="false">COUNTIFS(Evaluación!$D$5:$D$139,$B59)</f>
        <v>1</v>
      </c>
      <c r="E59" s="42" t="n">
        <f aca="false">SUMIFS(Evaluación!$N$5:$N$139,Evaluación!$D$5:$D$139,$B59)</f>
        <v>250</v>
      </c>
      <c r="F59" s="42" t="n">
        <f aca="false">E59*2</f>
        <v>500</v>
      </c>
      <c r="G59" s="42" t="str">
        <f aca="false">IF(F59&gt;=2500,"Platino",IF(F59&gt;=1500,"Oro",IF(F59&gt;=600,"Plata","Bronce")))</f>
        <v>Bronce</v>
      </c>
    </row>
    <row r="60" customFormat="false" ht="15" hidden="false" customHeight="true" outlineLevel="0" collapsed="false">
      <c r="A60" s="42" t="n">
        <v>56</v>
      </c>
      <c r="B60" s="42" t="s">
        <v>634</v>
      </c>
      <c r="C60" s="42" t="s">
        <v>163</v>
      </c>
      <c r="D60" s="42" t="n">
        <f aca="false">COUNTIFS(Evaluación!$D$5:$D$139,$B60)</f>
        <v>1</v>
      </c>
      <c r="E60" s="42" t="n">
        <f aca="false">SUMIFS(Evaluación!$N$5:$N$139,Evaluación!$D$5:$D$139,$B60)</f>
        <v>200</v>
      </c>
      <c r="F60" s="42" t="n">
        <f aca="false">E60*2</f>
        <v>400</v>
      </c>
      <c r="G60" s="42" t="str">
        <f aca="false">IF(F60&gt;=2500,"Platino",IF(F60&gt;=1500,"Oro",IF(F60&gt;=600,"Plata","Bronce")))</f>
        <v>Bronce</v>
      </c>
    </row>
    <row r="61" customFormat="false" ht="15" hidden="false" customHeight="true" outlineLevel="0" collapsed="false">
      <c r="A61" s="42" t="n">
        <v>57</v>
      </c>
      <c r="B61" s="42" t="s">
        <v>228</v>
      </c>
      <c r="C61" s="42" t="s">
        <v>51</v>
      </c>
      <c r="D61" s="42" t="n">
        <f aca="false">COUNTIFS(Evaluación!$D$5:$D$139,$B61)</f>
        <v>1</v>
      </c>
      <c r="E61" s="42" t="n">
        <f aca="false">SUMIFS(Evaluación!$N$5:$N$139,Evaluación!$D$5:$D$139,$B61)</f>
        <v>200</v>
      </c>
      <c r="F61" s="42" t="n">
        <f aca="false">E61*2</f>
        <v>400</v>
      </c>
      <c r="G61" s="42" t="str">
        <f aca="false">IF(F61&gt;=2500,"Platino",IF(F61&gt;=1500,"Oro",IF(F61&gt;=600,"Plata","Bronce")))</f>
        <v>Bronce</v>
      </c>
    </row>
    <row r="62" customFormat="false" ht="14.25" hidden="false" customHeight="true" outlineLevel="0" collapsed="false">
      <c r="A62" s="14" t="n">
        <v>58</v>
      </c>
      <c r="B62" s="14" t="s">
        <v>317</v>
      </c>
      <c r="C62" s="14" t="s">
        <v>163</v>
      </c>
      <c r="D62" s="14" t="n">
        <f aca="false">COUNTIFS(Evaluación!$D$5:$D$139,$B62)</f>
        <v>1</v>
      </c>
      <c r="E62" s="14" t="n">
        <f aca="false">SUMIFS(Evaluación!$N$5:$N$139,Evaluación!$D$5:$D$139,$B62)</f>
        <v>200</v>
      </c>
      <c r="F62" s="14" t="n">
        <f aca="false">E62*2</f>
        <v>400</v>
      </c>
      <c r="G62" s="14" t="str">
        <f aca="false">IF(F62&gt;=2500,"Platino",IF(F62&gt;=1500,"Oro",IF(F62&gt;=600,"Plata","Bronce")))</f>
        <v>Bronce</v>
      </c>
    </row>
    <row r="63" customFormat="false" ht="15" hidden="false" customHeight="true" outlineLevel="0" collapsed="false">
      <c r="A63" s="14" t="n">
        <v>59</v>
      </c>
      <c r="B63" s="14" t="s">
        <v>183</v>
      </c>
      <c r="C63" s="14" t="s">
        <v>51</v>
      </c>
      <c r="D63" s="14" t="n">
        <f aca="false">COUNTIFS(Evaluación!$D$5:$D$139,$B63)</f>
        <v>1</v>
      </c>
      <c r="E63" s="14" t="n">
        <f aca="false">SUMIFS(Evaluación!$N$5:$N$139,Evaluación!$D$5:$D$139,$B63)</f>
        <v>200</v>
      </c>
      <c r="F63" s="14" t="n">
        <f aca="false">E63*2</f>
        <v>400</v>
      </c>
      <c r="G63" s="14" t="str">
        <f aca="false">IF(F63&gt;=2500,"Platino",IF(F63&gt;=1500,"Oro",IF(F63&gt;=600,"Plata","Bronce")))</f>
        <v>Bronce</v>
      </c>
    </row>
    <row r="64" customFormat="false" ht="15" hidden="false" customHeight="true" outlineLevel="0" collapsed="false">
      <c r="A64" s="14" t="n">
        <v>60</v>
      </c>
      <c r="B64" s="14" t="s">
        <v>769</v>
      </c>
      <c r="C64" s="14" t="s">
        <v>163</v>
      </c>
      <c r="D64" s="14" t="n">
        <f aca="false">COUNTIFS(Evaluación!$D$5:$D$139,$B64)</f>
        <v>1</v>
      </c>
      <c r="E64" s="14" t="n">
        <f aca="false">SUMIFS(Evaluación!$N$5:$N$139,Evaluación!$D$5:$D$139,$B64)</f>
        <v>200</v>
      </c>
      <c r="F64" s="14" t="n">
        <f aca="false">E64*2</f>
        <v>400</v>
      </c>
      <c r="G64" s="14" t="str">
        <f aca="false">IF(F64&gt;=2500,"Platino",IF(F64&gt;=1500,"Oro",IF(F64&gt;=600,"Plata","Bronce")))</f>
        <v>Bronce</v>
      </c>
    </row>
    <row r="65" customFormat="false" ht="14.25" hidden="false" customHeight="true" outlineLevel="0" collapsed="false">
      <c r="A65" s="14" t="n">
        <v>61</v>
      </c>
      <c r="B65" s="14" t="s">
        <v>447</v>
      </c>
      <c r="C65" s="14" t="s">
        <v>163</v>
      </c>
      <c r="D65" s="14" t="n">
        <f aca="false">COUNTIFS(Evaluación!$D$5:$D$139,$B65)</f>
        <v>1</v>
      </c>
      <c r="E65" s="14" t="n">
        <f aca="false">SUMIFS(Evaluación!$N$5:$N$139,Evaluación!$D$5:$D$139,$B65)</f>
        <v>200</v>
      </c>
      <c r="F65" s="14" t="n">
        <f aca="false">E65*2</f>
        <v>400</v>
      </c>
      <c r="G65" s="14" t="str">
        <f aca="false">IF(F65&gt;=2500,"Platino",IF(F65&gt;=1500,"Oro",IF(F65&gt;=600,"Plata","Bronce")))</f>
        <v>Bronce</v>
      </c>
    </row>
    <row r="66" customFormat="false" ht="14.25" hidden="false" customHeight="true" outlineLevel="0" collapsed="false">
      <c r="A66" s="14" t="n">
        <v>62</v>
      </c>
      <c r="B66" s="14" t="s">
        <v>311</v>
      </c>
      <c r="C66" s="14" t="s">
        <v>163</v>
      </c>
      <c r="D66" s="14" t="n">
        <f aca="false">COUNTIFS(Evaluación!$D$5:$D$139,$B66)</f>
        <v>2</v>
      </c>
      <c r="E66" s="14" t="n">
        <f aca="false">SUMIFS(Evaluación!$N$5:$N$139,Evaluación!$D$5:$D$139,$B66)</f>
        <v>200</v>
      </c>
      <c r="F66" s="14" t="n">
        <f aca="false">E66*2</f>
        <v>400</v>
      </c>
      <c r="G66" s="14" t="str">
        <f aca="false">IF(F66&gt;=2500,"Platino",IF(F66&gt;=1500,"Oro",IF(F66&gt;=600,"Plata","Bronce")))</f>
        <v>Bronce</v>
      </c>
    </row>
    <row r="67" customFormat="false" ht="14.25" hidden="false" customHeight="true" outlineLevel="0" collapsed="false">
      <c r="A67" s="14" t="n">
        <v>63</v>
      </c>
      <c r="B67" s="14" t="s">
        <v>525</v>
      </c>
      <c r="C67" s="14" t="s">
        <v>163</v>
      </c>
      <c r="D67" s="14" t="n">
        <f aca="false">COUNTIFS(Evaluación!$D$5:$D$139,$B67)</f>
        <v>1</v>
      </c>
      <c r="E67" s="14" t="n">
        <f aca="false">SUMIFS(Evaluación!$N$5:$N$139,Evaluación!$D$5:$D$139,$B67)</f>
        <v>200</v>
      </c>
      <c r="F67" s="14" t="n">
        <f aca="false">E67*2</f>
        <v>400</v>
      </c>
      <c r="G67" s="14" t="str">
        <f aca="false">IF(F67&gt;=2500,"Platino",IF(F67&gt;=1500,"Oro",IF(F67&gt;=600,"Plata","Bronce")))</f>
        <v>Bronce</v>
      </c>
    </row>
    <row r="68" customFormat="false" ht="14.25" hidden="false" customHeight="true" outlineLevel="0" collapsed="false">
      <c r="A68" s="14" t="n">
        <v>64</v>
      </c>
      <c r="B68" s="14" t="s">
        <v>762</v>
      </c>
      <c r="C68" s="14" t="s">
        <v>61</v>
      </c>
      <c r="D68" s="14" t="n">
        <f aca="false">COUNTIFS(Evaluación!$D$5:$D$139,$B68)</f>
        <v>1</v>
      </c>
      <c r="E68" s="14" t="n">
        <f aca="false">SUMIFS(Evaluación!$N$5:$N$139,Evaluación!$D$5:$D$139,$B68)</f>
        <v>200</v>
      </c>
      <c r="F68" s="14" t="n">
        <f aca="false">E68*2</f>
        <v>400</v>
      </c>
      <c r="G68" s="14" t="str">
        <f aca="false">IF(F68&gt;=2500,"Platino",IF(F68&gt;=1500,"Oro",IF(F68&gt;=600,"Plata","Bronce")))</f>
        <v>Bronce</v>
      </c>
    </row>
    <row r="69" customFormat="false" ht="14.25" hidden="false" customHeight="true" outlineLevel="0" collapsed="false">
      <c r="A69" s="14" t="n">
        <v>65</v>
      </c>
      <c r="B69" s="14" t="s">
        <v>399</v>
      </c>
      <c r="C69" s="14" t="s">
        <v>73</v>
      </c>
      <c r="D69" s="14" t="n">
        <f aca="false">COUNTIFS(Evaluación!$D$5:$D$139,$B69)</f>
        <v>1</v>
      </c>
      <c r="E69" s="14" t="n">
        <f aca="false">SUMIFS(Evaluación!$N$5:$N$139,Evaluación!$D$5:$D$139,$B69)</f>
        <v>200</v>
      </c>
      <c r="F69" s="14" t="n">
        <f aca="false">E69*2</f>
        <v>400</v>
      </c>
      <c r="G69" s="14" t="str">
        <f aca="false">IF(F69&gt;=2500,"Platino",IF(F69&gt;=1500,"Oro",IF(F69&gt;=600,"Plata","Bronce")))</f>
        <v>Bronce</v>
      </c>
    </row>
    <row r="70" customFormat="false" ht="14.25" hidden="false" customHeight="true" outlineLevel="0" collapsed="false">
      <c r="A70" s="14" t="n">
        <v>66</v>
      </c>
      <c r="B70" s="14" t="s">
        <v>532</v>
      </c>
      <c r="C70" s="14" t="s">
        <v>51</v>
      </c>
      <c r="D70" s="14" t="n">
        <f aca="false">COUNTIFS(Evaluación!$D$5:$D$139,$B70)</f>
        <v>1</v>
      </c>
      <c r="E70" s="14" t="n">
        <f aca="false">SUMIFS(Evaluación!$N$5:$N$139,Evaluación!$D$5:$D$139,$B70)</f>
        <v>200</v>
      </c>
      <c r="F70" s="14" t="n">
        <f aca="false">E70*2</f>
        <v>400</v>
      </c>
      <c r="G70" s="14" t="str">
        <f aca="false">IF(F70&gt;=2500,"Platino",IF(F70&gt;=1500,"Oro",IF(F70&gt;=600,"Plata","Bronce")))</f>
        <v>Bronce</v>
      </c>
    </row>
    <row r="71" customFormat="false" ht="14.25" hidden="false" customHeight="true" outlineLevel="0" collapsed="false">
      <c r="A71" s="14" t="n">
        <v>67</v>
      </c>
      <c r="B71" s="14" t="s">
        <v>419</v>
      </c>
      <c r="C71" s="14" t="s">
        <v>73</v>
      </c>
      <c r="D71" s="14" t="n">
        <f aca="false">COUNTIFS(Evaluación!$D$5:$D$139,$B71)</f>
        <v>1</v>
      </c>
      <c r="E71" s="14" t="n">
        <f aca="false">SUMIFS(Evaluación!$N$5:$N$139,Evaluación!$D$5:$D$139,$B71)</f>
        <v>150</v>
      </c>
      <c r="F71" s="14" t="n">
        <f aca="false">E71*2</f>
        <v>300</v>
      </c>
      <c r="G71" s="14" t="str">
        <f aca="false">IF(F71&gt;=2500,"Platino",IF(F71&gt;=1500,"Oro",IF(F71&gt;=600,"Plata","Bronce")))</f>
        <v>Bronce</v>
      </c>
    </row>
    <row r="72" customFormat="false" ht="14.25" hidden="false" customHeight="true" outlineLevel="0" collapsed="false">
      <c r="A72" s="14" t="n">
        <v>68</v>
      </c>
      <c r="B72" s="14" t="s">
        <v>676</v>
      </c>
      <c r="C72" s="14" t="s">
        <v>90</v>
      </c>
      <c r="D72" s="14" t="n">
        <f aca="false">COUNTIFS(Evaluación!$D$5:$D$139,$B72)</f>
        <v>1</v>
      </c>
      <c r="E72" s="14" t="n">
        <f aca="false">SUMIFS(Evaluación!$N$5:$N$139,Evaluación!$D$5:$D$139,$B72)</f>
        <v>150</v>
      </c>
      <c r="F72" s="14" t="n">
        <f aca="false">E72*2</f>
        <v>300</v>
      </c>
      <c r="G72" s="14" t="str">
        <f aca="false">IF(F72&gt;=2500,"Platino",IF(F72&gt;=1500,"Oro",IF(F72&gt;=600,"Plata","Bronce")))</f>
        <v>Bronce</v>
      </c>
    </row>
    <row r="73" customFormat="false" ht="14.25" hidden="false" customHeight="true" outlineLevel="0" collapsed="false">
      <c r="A73" s="14" t="n">
        <v>69</v>
      </c>
      <c r="B73" s="14" t="s">
        <v>206</v>
      </c>
      <c r="C73" s="14" t="s">
        <v>51</v>
      </c>
      <c r="D73" s="14" t="n">
        <f aca="false">COUNTIFS(Evaluación!$D$5:$D$139,$B73)</f>
        <v>1</v>
      </c>
      <c r="E73" s="14" t="n">
        <f aca="false">SUMIFS(Evaluación!$N$5:$N$139,Evaluación!$D$5:$D$139,$B73)</f>
        <v>150</v>
      </c>
      <c r="F73" s="14" t="n">
        <f aca="false">E73*2</f>
        <v>300</v>
      </c>
      <c r="G73" s="14" t="str">
        <f aca="false">IF(F73&gt;=2500,"Platino",IF(F73&gt;=1500,"Oro",IF(F73&gt;=600,"Plata","Bronce")))</f>
        <v>Bronce</v>
      </c>
    </row>
    <row r="74" customFormat="false" ht="14.25" hidden="false" customHeight="true" outlineLevel="0" collapsed="false">
      <c r="A74" s="14" t="n">
        <v>70</v>
      </c>
      <c r="B74" s="14" t="s">
        <v>135</v>
      </c>
      <c r="C74" s="14" t="s">
        <v>90</v>
      </c>
      <c r="D74" s="14" t="n">
        <f aca="false">COUNTIFS(Evaluación!$D$5:$D$139,$B74)</f>
        <v>1</v>
      </c>
      <c r="E74" s="14" t="n">
        <f aca="false">SUMIFS(Evaluación!$N$5:$N$139,Evaluación!$D$5:$D$139,$B74)</f>
        <v>150</v>
      </c>
      <c r="F74" s="14" t="n">
        <f aca="false">E74*2</f>
        <v>300</v>
      </c>
      <c r="G74" s="14" t="str">
        <f aca="false">IF(F74&gt;=2500,"Platino",IF(F74&gt;=1500,"Oro",IF(F74&gt;=600,"Plata","Bronce")))</f>
        <v>Bronce</v>
      </c>
    </row>
    <row r="75" customFormat="false" ht="14.25" hidden="false" customHeight="true" outlineLevel="0" collapsed="false">
      <c r="A75" s="14" t="n">
        <v>71</v>
      </c>
      <c r="B75" s="14" t="s">
        <v>702</v>
      </c>
      <c r="C75" s="14" t="s">
        <v>163</v>
      </c>
      <c r="D75" s="14" t="n">
        <f aca="false">COUNTIFS(Evaluación!$D$5:$D$139,$B75)</f>
        <v>1</v>
      </c>
      <c r="E75" s="14" t="n">
        <f aca="false">SUMIFS(Evaluación!$N$5:$N$139,Evaluación!$D$5:$D$139,$B75)</f>
        <v>150</v>
      </c>
      <c r="F75" s="14" t="n">
        <f aca="false">E75*2</f>
        <v>300</v>
      </c>
      <c r="G75" s="14" t="str">
        <f aca="false">IF(F75&gt;=2500,"Platino",IF(F75&gt;=1500,"Oro",IF(F75&gt;=600,"Plata","Bronce")))</f>
        <v>Bronce</v>
      </c>
    </row>
    <row r="76" customFormat="false" ht="14.25" hidden="false" customHeight="true" outlineLevel="0" collapsed="false">
      <c r="A76" s="14" t="n">
        <v>72</v>
      </c>
      <c r="B76" s="14" t="s">
        <v>378</v>
      </c>
      <c r="C76" s="14" t="s">
        <v>73</v>
      </c>
      <c r="D76" s="14" t="n">
        <f aca="false">COUNTIFS(Evaluación!$D$5:$D$139,$B76)</f>
        <v>1</v>
      </c>
      <c r="E76" s="14" t="n">
        <f aca="false">SUMIFS(Evaluación!$N$5:$N$139,Evaluación!$D$5:$D$139,$B76)</f>
        <v>150</v>
      </c>
      <c r="F76" s="14" t="n">
        <f aca="false">E76*2</f>
        <v>300</v>
      </c>
      <c r="G76" s="14" t="str">
        <f aca="false">IF(F76&gt;=2500,"Platino",IF(F76&gt;=1500,"Oro",IF(F76&gt;=600,"Plata","Bronce")))</f>
        <v>Bronce</v>
      </c>
    </row>
    <row r="77" customFormat="false" ht="14.25" hidden="false" customHeight="true" outlineLevel="0" collapsed="false">
      <c r="A77" s="14" t="n">
        <v>73</v>
      </c>
      <c r="B77" s="14" t="s">
        <v>774</v>
      </c>
      <c r="C77" s="14" t="s">
        <v>90</v>
      </c>
      <c r="D77" s="14" t="n">
        <f aca="false">COUNTIFS(Evaluación!$D$5:$D$139,$B77)</f>
        <v>1</v>
      </c>
      <c r="E77" s="14" t="n">
        <f aca="false">SUMIFS(Evaluación!$N$5:$N$139,Evaluación!$D$5:$D$139,$B77)</f>
        <v>150</v>
      </c>
      <c r="F77" s="14" t="n">
        <f aca="false">E77*2</f>
        <v>300</v>
      </c>
      <c r="G77" s="14" t="str">
        <f aca="false">IF(F77&gt;=2500,"Platino",IF(F77&gt;=1500,"Oro",IF(F77&gt;=600,"Plata","Bronce")))</f>
        <v>Bronce</v>
      </c>
    </row>
    <row r="78" customFormat="false" ht="14.25" hidden="false" customHeight="true" outlineLevel="0" collapsed="false">
      <c r="A78" s="14" t="n">
        <v>74</v>
      </c>
      <c r="B78" s="14" t="s">
        <v>72</v>
      </c>
      <c r="C78" s="14" t="s">
        <v>73</v>
      </c>
      <c r="D78" s="14" t="n">
        <f aca="false">COUNTIFS(Evaluación!$D$5:$D$139,$B78)</f>
        <v>1</v>
      </c>
      <c r="E78" s="14" t="n">
        <f aca="false">SUMIFS(Evaluación!$N$5:$N$139,Evaluación!$D$5:$D$139,$B78)</f>
        <v>150</v>
      </c>
      <c r="F78" s="14" t="n">
        <f aca="false">E78*2</f>
        <v>300</v>
      </c>
      <c r="G78" s="14" t="str">
        <f aca="false">IF(F78&gt;=2500,"Platino",IF(F78&gt;=1500,"Oro",IF(F78&gt;=600,"Plata","Bronce")))</f>
        <v>Bronce</v>
      </c>
    </row>
    <row r="79" customFormat="false" ht="14.25" hidden="false" customHeight="true" outlineLevel="0" collapsed="false">
      <c r="A79" s="14" t="n">
        <v>75</v>
      </c>
      <c r="B79" s="14" t="s">
        <v>681</v>
      </c>
      <c r="C79" s="14" t="s">
        <v>73</v>
      </c>
      <c r="D79" s="14" t="n">
        <f aca="false">COUNTIFS(Evaluación!$D$5:$D$139,$B79)</f>
        <v>1</v>
      </c>
      <c r="E79" s="14" t="n">
        <f aca="false">SUMIFS(Evaluación!$N$5:$N$139,Evaluación!$D$5:$D$139,$B79)</f>
        <v>150</v>
      </c>
      <c r="F79" s="14" t="n">
        <f aca="false">E79*2</f>
        <v>300</v>
      </c>
      <c r="G79" s="14" t="str">
        <f aca="false">IF(F79&gt;=2500,"Platino",IF(F79&gt;=1500,"Oro",IF(F79&gt;=600,"Plata","Bronce")))</f>
        <v>Bronce</v>
      </c>
    </row>
    <row r="80" customFormat="false" ht="14.25" hidden="false" customHeight="true" outlineLevel="0" collapsed="false">
      <c r="A80" s="14" t="n">
        <v>76</v>
      </c>
      <c r="B80" s="14" t="s">
        <v>191</v>
      </c>
      <c r="C80" s="14" t="s">
        <v>51</v>
      </c>
      <c r="D80" s="14" t="n">
        <f aca="false">COUNTIFS(Evaluación!$D$5:$D$139,$B80)</f>
        <v>1</v>
      </c>
      <c r="E80" s="14" t="n">
        <f aca="false">SUMIFS(Evaluación!$N$5:$N$139,Evaluación!$D$5:$D$139,$B80)</f>
        <v>150</v>
      </c>
      <c r="F80" s="14" t="n">
        <f aca="false">E80*2</f>
        <v>300</v>
      </c>
      <c r="G80" s="14" t="str">
        <f aca="false">IF(F80&gt;=2500,"Platino",IF(F80&gt;=1500,"Oro",IF(F80&gt;=600,"Plata","Bronce")))</f>
        <v>Bronce</v>
      </c>
    </row>
    <row r="81" customFormat="false" ht="14.25" hidden="false" customHeight="true" outlineLevel="0" collapsed="false">
      <c r="A81" s="14" t="n">
        <v>77</v>
      </c>
      <c r="B81" s="14" t="s">
        <v>613</v>
      </c>
      <c r="C81" s="14" t="s">
        <v>73</v>
      </c>
      <c r="D81" s="14" t="n">
        <f aca="false">COUNTIFS(Evaluación!$D$5:$D$139,$B81)</f>
        <v>1</v>
      </c>
      <c r="E81" s="14" t="n">
        <f aca="false">SUMIFS(Evaluación!$N$5:$N$139,Evaluación!$D$5:$D$139,$B81)</f>
        <v>150</v>
      </c>
      <c r="F81" s="14" t="n">
        <f aca="false">E81*2</f>
        <v>300</v>
      </c>
      <c r="G81" s="14" t="str">
        <f aca="false">IF(F81&gt;=2500,"Platino",IF(F81&gt;=1500,"Oro",IF(F81&gt;=600,"Plata","Bronce")))</f>
        <v>Bronce</v>
      </c>
    </row>
    <row r="82" customFormat="false" ht="14.25" hidden="false" customHeight="true" outlineLevel="0" collapsed="false">
      <c r="A82" s="14" t="n">
        <v>78</v>
      </c>
      <c r="B82" s="14" t="s">
        <v>789</v>
      </c>
      <c r="C82" s="14" t="s">
        <v>790</v>
      </c>
      <c r="D82" s="14" t="n">
        <f aca="false">COUNTIFS(Evaluación!$D$5:$D$139,$B82)</f>
        <v>1</v>
      </c>
      <c r="E82" s="14" t="n">
        <f aca="false">SUMIFS(Evaluación!$N$5:$N$139,Evaluación!$D$5:$D$139,$B82)</f>
        <v>150</v>
      </c>
      <c r="F82" s="14" t="n">
        <f aca="false">E82*2</f>
        <v>300</v>
      </c>
      <c r="G82" s="14" t="str">
        <f aca="false">IF(F82&gt;=2500,"Platino",IF(F82&gt;=1500,"Oro",IF(F82&gt;=600,"Plata","Bronce")))</f>
        <v>Bronce</v>
      </c>
    </row>
    <row r="83" customFormat="false" ht="14.25" hidden="false" customHeight="true" outlineLevel="0" collapsed="false">
      <c r="A83" s="14" t="n">
        <v>79</v>
      </c>
      <c r="B83" s="14" t="s">
        <v>148</v>
      </c>
      <c r="C83" s="14" t="s">
        <v>73</v>
      </c>
      <c r="D83" s="14" t="n">
        <f aca="false">COUNTIFS(Evaluación!$D$5:$D$139,$B83)</f>
        <v>1</v>
      </c>
      <c r="E83" s="14" t="n">
        <f aca="false">SUMIFS(Evaluación!$N$5:$N$139,Evaluación!$D$5:$D$139,$B83)</f>
        <v>150</v>
      </c>
      <c r="F83" s="14" t="n">
        <f aca="false">E83*2</f>
        <v>300</v>
      </c>
      <c r="G83" s="14" t="str">
        <f aca="false">IF(F83&gt;=2500,"Platino",IF(F83&gt;=1500,"Oro",IF(F83&gt;=600,"Plata","Bronce")))</f>
        <v>Bronce</v>
      </c>
    </row>
    <row r="84" customFormat="false" ht="14.25" hidden="false" customHeight="true" outlineLevel="0" collapsed="false">
      <c r="A84" s="14" t="n">
        <v>80</v>
      </c>
      <c r="B84" s="14" t="s">
        <v>742</v>
      </c>
      <c r="C84" s="14" t="s">
        <v>51</v>
      </c>
      <c r="D84" s="14" t="n">
        <f aca="false">COUNTIFS(Evaluación!$D$5:$D$139,$B84)</f>
        <v>1</v>
      </c>
      <c r="E84" s="14" t="n">
        <f aca="false">SUMIFS(Evaluación!$N$5:$N$139,Evaluación!$D$5:$D$139,$B84)</f>
        <v>150</v>
      </c>
      <c r="F84" s="14" t="n">
        <f aca="false">E84*2</f>
        <v>300</v>
      </c>
      <c r="G84" s="14" t="str">
        <f aca="false">IF(F84&gt;=2500,"Platino",IF(F84&gt;=1500,"Oro",IF(F84&gt;=600,"Plata","Bronce")))</f>
        <v>Bronce</v>
      </c>
    </row>
    <row r="85" customFormat="false" ht="14.25" hidden="false" customHeight="true" outlineLevel="0" collapsed="false">
      <c r="A85" s="14" t="n">
        <v>81</v>
      </c>
      <c r="B85" s="14" t="s">
        <v>162</v>
      </c>
      <c r="C85" s="14" t="s">
        <v>163</v>
      </c>
      <c r="D85" s="14" t="n">
        <f aca="false">COUNTIFS(Evaluación!$D$5:$D$139,$B85)</f>
        <v>1</v>
      </c>
      <c r="E85" s="14" t="n">
        <f aca="false">SUMIFS(Evaluación!$N$5:$N$139,Evaluación!$D$5:$D$139,$B85)</f>
        <v>100</v>
      </c>
      <c r="F85" s="14" t="n">
        <f aca="false">E85*2</f>
        <v>200</v>
      </c>
      <c r="G85" s="14" t="str">
        <f aca="false">IF(F85&gt;=2500,"Platino",IF(F85&gt;=1500,"Oro",IF(F85&gt;=600,"Plata","Bronce")))</f>
        <v>Bronce</v>
      </c>
    </row>
    <row r="86" customFormat="false" ht="14.25" hidden="false" customHeight="true" outlineLevel="0" collapsed="false">
      <c r="A86" s="14" t="n">
        <v>82</v>
      </c>
      <c r="B86" s="14" t="s">
        <v>804</v>
      </c>
      <c r="C86" s="14" t="s">
        <v>790</v>
      </c>
      <c r="D86" s="14" t="n">
        <f aca="false">COUNTIFS(Evaluación!$D$5:$D$139,$B86)</f>
        <v>1</v>
      </c>
      <c r="E86" s="14" t="n">
        <f aca="false">SUMIFS(Evaluación!$N$5:$N$139,Evaluación!$D$5:$D$139,$B86)</f>
        <v>100</v>
      </c>
      <c r="F86" s="14" t="n">
        <f aca="false">E86*2</f>
        <v>200</v>
      </c>
      <c r="G86" s="14" t="str">
        <f aca="false">IF(F86&gt;=2500,"Platino",IF(F86&gt;=1500,"Oro",IF(F86&gt;=600,"Plata","Bronce")))</f>
        <v>Bronce</v>
      </c>
    </row>
    <row r="87" customFormat="false" ht="14.25" hidden="false" customHeight="true" outlineLevel="0" collapsed="false">
      <c r="A87" s="14" t="n">
        <v>83</v>
      </c>
      <c r="B87" s="14" t="s">
        <v>666</v>
      </c>
      <c r="C87" s="14" t="s">
        <v>163</v>
      </c>
      <c r="D87" s="14" t="n">
        <f aca="false">COUNTIFS(Evaluación!$D$5:$D$139,$B87)</f>
        <v>1</v>
      </c>
      <c r="E87" s="14" t="n">
        <f aca="false">SUMIFS(Evaluación!$N$5:$N$139,Evaluación!$D$5:$D$139,$B87)</f>
        <v>100</v>
      </c>
      <c r="F87" s="14" t="n">
        <f aca="false">E87*2</f>
        <v>200</v>
      </c>
      <c r="G87" s="14" t="str">
        <f aca="false">IF(F87&gt;=2500,"Platino",IF(F87&gt;=1500,"Oro",IF(F87&gt;=600,"Plata","Bronce")))</f>
        <v>Bronce</v>
      </c>
    </row>
    <row r="88" customFormat="false" ht="14.25" hidden="false" customHeight="true" outlineLevel="0" collapsed="false">
      <c r="A88" s="14" t="n">
        <v>84</v>
      </c>
      <c r="B88" s="14" t="s">
        <v>495</v>
      </c>
      <c r="C88" s="14" t="s">
        <v>51</v>
      </c>
      <c r="D88" s="14" t="n">
        <f aca="false">COUNTIFS(Evaluación!$D$5:$D$139,$B88)</f>
        <v>1</v>
      </c>
      <c r="E88" s="14" t="n">
        <f aca="false">SUMIFS(Evaluación!$N$5:$N$139,Evaluación!$D$5:$D$139,$B88)</f>
        <v>100</v>
      </c>
      <c r="F88" s="14" t="n">
        <f aca="false">E88*2</f>
        <v>200</v>
      </c>
      <c r="G88" s="14" t="str">
        <f aca="false">IF(F88&gt;=2500,"Platino",IF(F88&gt;=1500,"Oro",IF(F88&gt;=600,"Plata","Bronce")))</f>
        <v>Bronce</v>
      </c>
    </row>
    <row r="89" customFormat="false" ht="14.25" hidden="false" customHeight="true" outlineLevel="0" collapsed="false">
      <c r="A89" s="14" t="n">
        <v>85</v>
      </c>
      <c r="B89" s="14" t="s">
        <v>301</v>
      </c>
      <c r="C89" s="14" t="s">
        <v>51</v>
      </c>
      <c r="D89" s="14" t="n">
        <f aca="false">COUNTIFS(Evaluación!$D$5:$D$139,$B89)</f>
        <v>1</v>
      </c>
      <c r="E89" s="14" t="n">
        <f aca="false">SUMIFS(Evaluación!$N$5:$N$139,Evaluación!$D$5:$D$139,$B89)</f>
        <v>100</v>
      </c>
      <c r="F89" s="14" t="n">
        <f aca="false">E89*2</f>
        <v>200</v>
      </c>
      <c r="G89" s="14" t="str">
        <f aca="false">IF(F89&gt;=2500,"Platino",IF(F89&gt;=1500,"Oro",IF(F89&gt;=600,"Plata","Bronce")))</f>
        <v>Bronce</v>
      </c>
    </row>
    <row r="90" customFormat="false" ht="14.25" hidden="false" customHeight="true" outlineLevel="0" collapsed="false">
      <c r="A90" s="14" t="n">
        <v>86</v>
      </c>
      <c r="B90" s="14" t="s">
        <v>780</v>
      </c>
      <c r="C90" s="14" t="s">
        <v>51</v>
      </c>
      <c r="D90" s="14" t="n">
        <f aca="false">COUNTIFS(Evaluación!$D$5:$D$139,$B90)</f>
        <v>1</v>
      </c>
      <c r="E90" s="14" t="n">
        <f aca="false">SUMIFS(Evaluación!$N$5:$N$139,Evaluación!$D$5:$D$139,$B90)</f>
        <v>100</v>
      </c>
      <c r="F90" s="14" t="n">
        <f aca="false">E90*2</f>
        <v>200</v>
      </c>
      <c r="G90" s="14" t="str">
        <f aca="false">IF(F90&gt;=2500,"Platino",IF(F90&gt;=1500,"Oro",IF(F90&gt;=600,"Plata","Bronce")))</f>
        <v>Bronce</v>
      </c>
    </row>
    <row r="91" customFormat="false" ht="14.25" hidden="false" customHeight="true" outlineLevel="0" collapsed="false">
      <c r="A91" s="14" t="n">
        <v>87</v>
      </c>
      <c r="B91" s="14" t="s">
        <v>687</v>
      </c>
      <c r="C91" s="14" t="s">
        <v>73</v>
      </c>
      <c r="D91" s="14" t="n">
        <f aca="false">COUNTIFS(Evaluación!$D$5:$D$139,$B91)</f>
        <v>1</v>
      </c>
      <c r="E91" s="14" t="n">
        <f aca="false">SUMIFS(Evaluación!$N$5:$N$139,Evaluación!$D$5:$D$139,$B91)</f>
        <v>100</v>
      </c>
      <c r="F91" s="14" t="n">
        <f aca="false">E91*2</f>
        <v>200</v>
      </c>
      <c r="G91" s="14" t="str">
        <f aca="false">IF(F91&gt;=2500,"Platino",IF(F91&gt;=1500,"Oro",IF(F91&gt;=600,"Plata","Bronce")))</f>
        <v>Bronce</v>
      </c>
    </row>
    <row r="92" customFormat="false" ht="14.25" hidden="false" customHeight="true" outlineLevel="0" collapsed="false">
      <c r="A92" s="14" t="n">
        <v>88</v>
      </c>
      <c r="B92" s="14" t="s">
        <v>722</v>
      </c>
      <c r="C92" s="14" t="s">
        <v>163</v>
      </c>
      <c r="D92" s="14" t="n">
        <f aca="false">COUNTIFS(Evaluación!$D$5:$D$139,$B92)</f>
        <v>1</v>
      </c>
      <c r="E92" s="14" t="n">
        <f aca="false">SUMIFS(Evaluación!$N$5:$N$139,Evaluación!$D$5:$D$139,$B92)</f>
        <v>100</v>
      </c>
      <c r="F92" s="14" t="n">
        <f aca="false">E92*2</f>
        <v>200</v>
      </c>
      <c r="G92" s="14" t="str">
        <f aca="false">IF(F92&gt;=2500,"Platino",IF(F92&gt;=1500,"Oro",IF(F92&gt;=600,"Plata","Bronce")))</f>
        <v>Bronce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1"/>
    <col collapsed="false" customWidth="true" hidden="false" outlineLevel="0" max="3" min="3" style="1" width="30"/>
    <col collapsed="false" customWidth="true" hidden="false" outlineLevel="0" max="4" min="4" style="1" width="32"/>
    <col collapsed="false" customWidth="true" hidden="false" outlineLevel="0" max="5" min="5" style="1" width="11"/>
    <col collapsed="false" customWidth="true" hidden="false" outlineLevel="0" max="6" min="6" style="1" width="10"/>
    <col collapsed="false" customWidth="true" hidden="false" outlineLevel="0" max="7" min="7" style="1" width="30"/>
    <col collapsed="false" customWidth="true" hidden="false" outlineLevel="0" max="8" min="8" style="1" width="44"/>
  </cols>
  <sheetData>
    <row r="1" customFormat="false" ht="17.25" hidden="false" customHeight="true" outlineLevel="0" collapsed="false">
      <c r="A1" s="74" t="s">
        <v>937</v>
      </c>
    </row>
    <row r="2" customFormat="false" ht="27.75" hidden="false" customHeight="true" outlineLevel="0" collapsed="false">
      <c r="A2" s="75" t="s">
        <v>938</v>
      </c>
      <c r="B2" s="75"/>
      <c r="C2" s="75"/>
      <c r="D2" s="75"/>
      <c r="E2" s="75"/>
      <c r="F2" s="75"/>
      <c r="G2" s="75"/>
      <c r="H2" s="75"/>
    </row>
    <row r="4" customFormat="false" ht="15" hidden="false" customHeight="true" outlineLevel="0" collapsed="false">
      <c r="A4" s="76" t="s">
        <v>27</v>
      </c>
      <c r="B4" s="76" t="s">
        <v>31</v>
      </c>
      <c r="C4" s="76" t="s">
        <v>44</v>
      </c>
      <c r="D4" s="76" t="s">
        <v>939</v>
      </c>
      <c r="E4" s="76" t="s">
        <v>940</v>
      </c>
      <c r="F4" s="76" t="s">
        <v>814</v>
      </c>
      <c r="G4" s="76" t="s">
        <v>941</v>
      </c>
      <c r="H4" s="76" t="s">
        <v>942</v>
      </c>
    </row>
    <row r="5" customFormat="false" ht="15" hidden="false" customHeight="true" outlineLevel="0" collapsed="false">
      <c r="A5" s="77" t="n">
        <v>7</v>
      </c>
      <c r="B5" s="78" t="s">
        <v>51</v>
      </c>
      <c r="C5" s="78" t="s">
        <v>109</v>
      </c>
      <c r="D5" s="79" t="s">
        <v>105</v>
      </c>
      <c r="E5" s="77" t="s">
        <v>111</v>
      </c>
      <c r="F5" s="77" t="n">
        <v>450</v>
      </c>
      <c r="G5" s="78" t="s">
        <v>943</v>
      </c>
      <c r="H5" s="80"/>
    </row>
    <row r="6" customFormat="false" ht="15" hidden="false" customHeight="true" outlineLevel="0" collapsed="false">
      <c r="A6" s="77" t="n">
        <v>9</v>
      </c>
      <c r="B6" s="78" t="s">
        <v>51</v>
      </c>
      <c r="C6" s="78" t="s">
        <v>126</v>
      </c>
      <c r="D6" s="78" t="s">
        <v>123</v>
      </c>
      <c r="E6" s="77" t="s">
        <v>129</v>
      </c>
      <c r="F6" s="77" t="n">
        <v>450</v>
      </c>
      <c r="G6" s="78" t="s">
        <v>944</v>
      </c>
      <c r="H6" s="80"/>
    </row>
    <row r="7" customFormat="false" ht="15" hidden="false" customHeight="true" outlineLevel="0" collapsed="false">
      <c r="A7" s="77" t="n">
        <v>28</v>
      </c>
      <c r="B7" s="78" t="s">
        <v>51</v>
      </c>
      <c r="C7" s="78" t="s">
        <v>109</v>
      </c>
      <c r="D7" s="79" t="s">
        <v>264</v>
      </c>
      <c r="E7" s="77" t="s">
        <v>269</v>
      </c>
      <c r="F7" s="77" t="n">
        <v>450</v>
      </c>
      <c r="G7" s="78" t="s">
        <v>943</v>
      </c>
      <c r="H7" s="80"/>
    </row>
    <row r="8" customFormat="false" ht="15" hidden="false" customHeight="true" outlineLevel="0" collapsed="false">
      <c r="A8" s="77" t="n">
        <v>29</v>
      </c>
      <c r="B8" s="78" t="s">
        <v>163</v>
      </c>
      <c r="C8" s="78" t="s">
        <v>274</v>
      </c>
      <c r="D8" s="78" t="s">
        <v>271</v>
      </c>
      <c r="E8" s="77" t="s">
        <v>276</v>
      </c>
      <c r="F8" s="77" t="n">
        <v>450</v>
      </c>
      <c r="G8" s="78" t="s">
        <v>944</v>
      </c>
      <c r="H8" s="80"/>
    </row>
    <row r="9" customFormat="false" ht="15" hidden="false" customHeight="true" outlineLevel="0" collapsed="false">
      <c r="A9" s="77" t="n">
        <v>31</v>
      </c>
      <c r="B9" s="78" t="s">
        <v>51</v>
      </c>
      <c r="C9" s="78" t="s">
        <v>285</v>
      </c>
      <c r="D9" s="79" t="s">
        <v>282</v>
      </c>
      <c r="E9" s="77" t="s">
        <v>288</v>
      </c>
      <c r="F9" s="77" t="n">
        <v>450</v>
      </c>
      <c r="G9" s="78" t="s">
        <v>943</v>
      </c>
      <c r="H9" s="80"/>
    </row>
    <row r="10" customFormat="false" ht="15" hidden="false" customHeight="true" outlineLevel="0" collapsed="false">
      <c r="A10" s="77" t="n">
        <v>66</v>
      </c>
      <c r="B10" s="78" t="s">
        <v>90</v>
      </c>
      <c r="C10" s="78" t="s">
        <v>478</v>
      </c>
      <c r="D10" s="78" t="s">
        <v>475</v>
      </c>
      <c r="E10" s="77" t="s">
        <v>480</v>
      </c>
      <c r="F10" s="77" t="n">
        <v>450</v>
      </c>
      <c r="G10" s="78" t="s">
        <v>944</v>
      </c>
      <c r="H10" s="80"/>
    </row>
    <row r="11" customFormat="false" ht="15" hidden="false" customHeight="true" outlineLevel="0" collapsed="false">
      <c r="A11" s="77" t="n">
        <v>72</v>
      </c>
      <c r="B11" s="78" t="s">
        <v>73</v>
      </c>
      <c r="C11" s="78" t="s">
        <v>510</v>
      </c>
      <c r="D11" s="79" t="s">
        <v>507</v>
      </c>
      <c r="E11" s="77" t="s">
        <v>329</v>
      </c>
      <c r="F11" s="77" t="n">
        <v>450</v>
      </c>
      <c r="G11" s="78" t="s">
        <v>943</v>
      </c>
      <c r="H11" s="80" t="s">
        <v>945</v>
      </c>
    </row>
    <row r="12" customFormat="false" ht="15" hidden="false" customHeight="true" outlineLevel="0" collapsed="false">
      <c r="A12" s="77" t="n">
        <v>82</v>
      </c>
      <c r="B12" s="78" t="s">
        <v>90</v>
      </c>
      <c r="C12" s="78" t="s">
        <v>143</v>
      </c>
      <c r="D12" s="79" t="s">
        <v>566</v>
      </c>
      <c r="E12" s="77" t="s">
        <v>571</v>
      </c>
      <c r="F12" s="77" t="n">
        <v>450</v>
      </c>
      <c r="G12" s="78" t="s">
        <v>943</v>
      </c>
      <c r="H12" s="80"/>
    </row>
    <row r="13" customFormat="false" ht="15" hidden="false" customHeight="true" outlineLevel="0" collapsed="false">
      <c r="A13" s="77" t="n">
        <v>87</v>
      </c>
      <c r="B13" s="78" t="s">
        <v>73</v>
      </c>
      <c r="C13" s="78" t="s">
        <v>598</v>
      </c>
      <c r="D13" s="78" t="s">
        <v>595</v>
      </c>
      <c r="E13" s="77" t="s">
        <v>600</v>
      </c>
      <c r="F13" s="77" t="n">
        <v>450</v>
      </c>
      <c r="G13" s="78" t="s">
        <v>944</v>
      </c>
      <c r="H13" s="80"/>
    </row>
    <row r="14" customFormat="false" ht="15" hidden="false" customHeight="true" outlineLevel="0" collapsed="false">
      <c r="A14" s="77" t="n">
        <v>94</v>
      </c>
      <c r="B14" s="78" t="s">
        <v>51</v>
      </c>
      <c r="C14" s="78" t="s">
        <v>231</v>
      </c>
      <c r="D14" s="78" t="s">
        <v>627</v>
      </c>
      <c r="E14" s="77" t="s">
        <v>632</v>
      </c>
      <c r="F14" s="77" t="n">
        <v>450</v>
      </c>
      <c r="G14" s="78" t="s">
        <v>944</v>
      </c>
      <c r="H14" s="80"/>
    </row>
    <row r="15" customFormat="false" ht="15" hidden="false" customHeight="true" outlineLevel="0" collapsed="false">
      <c r="A15" s="77" t="n">
        <v>96</v>
      </c>
      <c r="B15" s="78" t="s">
        <v>90</v>
      </c>
      <c r="C15" s="78" t="s">
        <v>640</v>
      </c>
      <c r="D15" s="79" t="s">
        <v>640</v>
      </c>
      <c r="E15" s="77" t="s">
        <v>644</v>
      </c>
      <c r="F15" s="77" t="n">
        <v>450</v>
      </c>
      <c r="G15" s="78" t="s">
        <v>943</v>
      </c>
      <c r="H15" s="80" t="s">
        <v>945</v>
      </c>
    </row>
    <row r="16" customFormat="false" ht="15" hidden="false" customHeight="true" outlineLevel="0" collapsed="false">
      <c r="A16" s="77" t="n">
        <v>30</v>
      </c>
      <c r="B16" s="78" t="s">
        <v>51</v>
      </c>
      <c r="C16" s="78" t="s">
        <v>244</v>
      </c>
      <c r="D16" s="79" t="s">
        <v>277</v>
      </c>
      <c r="E16" s="77" t="s">
        <v>281</v>
      </c>
      <c r="F16" s="77" t="n">
        <v>400</v>
      </c>
      <c r="G16" s="78" t="s">
        <v>943</v>
      </c>
      <c r="H16" s="80"/>
    </row>
    <row r="17" customFormat="false" ht="15" hidden="false" customHeight="true" outlineLevel="0" collapsed="false">
      <c r="A17" s="77" t="n">
        <v>42</v>
      </c>
      <c r="B17" s="78" t="s">
        <v>73</v>
      </c>
      <c r="C17" s="78" t="s">
        <v>344</v>
      </c>
      <c r="D17" s="78" t="s">
        <v>341</v>
      </c>
      <c r="E17" s="77" t="s">
        <v>346</v>
      </c>
      <c r="F17" s="77" t="n">
        <v>400</v>
      </c>
      <c r="G17" s="78" t="s">
        <v>944</v>
      </c>
      <c r="H17" s="80"/>
    </row>
    <row r="18" customFormat="false" ht="23.25" hidden="false" customHeight="true" outlineLevel="0" collapsed="false">
      <c r="A18" s="77" t="n">
        <v>45</v>
      </c>
      <c r="B18" s="78" t="s">
        <v>163</v>
      </c>
      <c r="C18" s="78" t="s">
        <v>362</v>
      </c>
      <c r="D18" s="78" t="s">
        <v>359</v>
      </c>
      <c r="E18" s="77" t="s">
        <v>364</v>
      </c>
      <c r="F18" s="77" t="n">
        <v>400</v>
      </c>
      <c r="G18" s="78" t="s">
        <v>944</v>
      </c>
      <c r="H18" s="80" t="s">
        <v>946</v>
      </c>
    </row>
    <row r="19" customFormat="false" ht="15" hidden="false" customHeight="true" outlineLevel="0" collapsed="false">
      <c r="A19" s="77" t="n">
        <v>61</v>
      </c>
      <c r="B19" s="78" t="s">
        <v>73</v>
      </c>
      <c r="C19" s="78" t="s">
        <v>344</v>
      </c>
      <c r="D19" s="78" t="s">
        <v>341</v>
      </c>
      <c r="E19" s="77" t="s">
        <v>346</v>
      </c>
      <c r="F19" s="77" t="n">
        <v>400</v>
      </c>
      <c r="G19" s="78" t="s">
        <v>944</v>
      </c>
      <c r="H19" s="80"/>
    </row>
    <row r="20" customFormat="false" ht="23.25" hidden="false" customHeight="true" outlineLevel="0" collapsed="false">
      <c r="A20" s="77" t="n">
        <v>93</v>
      </c>
      <c r="B20" s="78" t="s">
        <v>90</v>
      </c>
      <c r="C20" s="78" t="s">
        <v>438</v>
      </c>
      <c r="D20" s="78" t="s">
        <v>435</v>
      </c>
      <c r="E20" s="77" t="s">
        <v>441</v>
      </c>
      <c r="F20" s="77" t="n">
        <v>400</v>
      </c>
      <c r="G20" s="78" t="s">
        <v>944</v>
      </c>
      <c r="H20" s="80" t="s">
        <v>946</v>
      </c>
    </row>
    <row r="21" customFormat="false" ht="15" hidden="false" customHeight="true" outlineLevel="0" collapsed="false">
      <c r="A21" s="77" t="n">
        <v>10</v>
      </c>
      <c r="B21" s="78" t="s">
        <v>90</v>
      </c>
      <c r="C21" s="78" t="s">
        <v>135</v>
      </c>
      <c r="D21" s="79" t="s">
        <v>131</v>
      </c>
      <c r="E21" s="77" t="s">
        <v>138</v>
      </c>
      <c r="F21" s="77" t="n">
        <v>300</v>
      </c>
      <c r="G21" s="78" t="s">
        <v>943</v>
      </c>
      <c r="H21" s="80"/>
    </row>
    <row r="22" customFormat="false" ht="15" hidden="false" customHeight="true" outlineLevel="0" collapsed="false">
      <c r="A22" s="77" t="n">
        <v>11</v>
      </c>
      <c r="B22" s="78" t="s">
        <v>90</v>
      </c>
      <c r="C22" s="78" t="s">
        <v>143</v>
      </c>
      <c r="D22" s="78" t="s">
        <v>139</v>
      </c>
      <c r="E22" s="77" t="s">
        <v>146</v>
      </c>
      <c r="F22" s="77" t="n">
        <v>300</v>
      </c>
      <c r="G22" s="78" t="s">
        <v>944</v>
      </c>
      <c r="H22" s="80"/>
    </row>
    <row r="23" customFormat="false" ht="15" hidden="false" customHeight="true" outlineLevel="0" collapsed="false">
      <c r="A23" s="77" t="n">
        <v>24</v>
      </c>
      <c r="B23" s="78" t="s">
        <v>51</v>
      </c>
      <c r="C23" s="78" t="s">
        <v>201</v>
      </c>
      <c r="D23" s="79" t="s">
        <v>198</v>
      </c>
      <c r="E23" s="77" t="s">
        <v>204</v>
      </c>
      <c r="F23" s="77" t="n">
        <v>300</v>
      </c>
      <c r="G23" s="78" t="s">
        <v>943</v>
      </c>
      <c r="H23" s="80"/>
    </row>
    <row r="24" customFormat="false" ht="15" hidden="false" customHeight="true" outlineLevel="0" collapsed="false">
      <c r="A24" s="77" t="n">
        <v>26</v>
      </c>
      <c r="B24" s="78" t="s">
        <v>51</v>
      </c>
      <c r="C24" s="78" t="s">
        <v>251</v>
      </c>
      <c r="D24" s="78" t="s">
        <v>247</v>
      </c>
      <c r="E24" s="77" t="s">
        <v>254</v>
      </c>
      <c r="F24" s="77" t="n">
        <v>300</v>
      </c>
      <c r="G24" s="78" t="s">
        <v>944</v>
      </c>
      <c r="H24" s="80"/>
    </row>
    <row r="25" customFormat="false" ht="15" hidden="false" customHeight="true" outlineLevel="0" collapsed="false">
      <c r="A25" s="77" t="n">
        <v>33</v>
      </c>
      <c r="B25" s="78" t="s">
        <v>90</v>
      </c>
      <c r="C25" s="78" t="s">
        <v>118</v>
      </c>
      <c r="D25" s="78" t="s">
        <v>114</v>
      </c>
      <c r="E25" s="77" t="s">
        <v>121</v>
      </c>
      <c r="F25" s="77" t="n">
        <v>300</v>
      </c>
      <c r="G25" s="78" t="s">
        <v>944</v>
      </c>
      <c r="H25" s="80"/>
    </row>
    <row r="26" customFormat="false" ht="15" hidden="false" customHeight="true" outlineLevel="0" collapsed="false">
      <c r="A26" s="77" t="n">
        <v>34</v>
      </c>
      <c r="B26" s="78" t="s">
        <v>90</v>
      </c>
      <c r="C26" s="78" t="s">
        <v>143</v>
      </c>
      <c r="D26" s="78" t="s">
        <v>139</v>
      </c>
      <c r="E26" s="77" t="s">
        <v>146</v>
      </c>
      <c r="F26" s="77" t="n">
        <v>300</v>
      </c>
      <c r="G26" s="78" t="s">
        <v>944</v>
      </c>
      <c r="H26" s="80"/>
    </row>
    <row r="27" customFormat="false" ht="15" hidden="false" customHeight="true" outlineLevel="0" collapsed="false">
      <c r="A27" s="77" t="n">
        <v>46</v>
      </c>
      <c r="B27" s="78" t="s">
        <v>163</v>
      </c>
      <c r="C27" s="78" t="s">
        <v>370</v>
      </c>
      <c r="D27" s="78" t="s">
        <v>366</v>
      </c>
      <c r="E27" s="77" t="s">
        <v>373</v>
      </c>
      <c r="F27" s="77" t="n">
        <v>300</v>
      </c>
      <c r="G27" s="78" t="s">
        <v>944</v>
      </c>
      <c r="H27" s="80"/>
    </row>
    <row r="28" customFormat="false" ht="15" hidden="false" customHeight="true" outlineLevel="0" collapsed="false">
      <c r="A28" s="77" t="n">
        <v>51</v>
      </c>
      <c r="B28" s="78" t="s">
        <v>61</v>
      </c>
      <c r="C28" s="78" t="s">
        <v>167</v>
      </c>
      <c r="D28" s="79" t="s">
        <v>393</v>
      </c>
      <c r="E28" s="77" t="s">
        <v>398</v>
      </c>
      <c r="F28" s="77" t="n">
        <v>300</v>
      </c>
      <c r="G28" s="78" t="s">
        <v>943</v>
      </c>
      <c r="H28" s="80"/>
    </row>
    <row r="29" customFormat="false" ht="15" hidden="false" customHeight="true" outlineLevel="0" collapsed="false">
      <c r="A29" s="77" t="n">
        <v>53</v>
      </c>
      <c r="B29" s="78" t="s">
        <v>73</v>
      </c>
      <c r="C29" s="78" t="s">
        <v>409</v>
      </c>
      <c r="D29" s="79" t="s">
        <v>406</v>
      </c>
      <c r="E29" s="77" t="s">
        <v>410</v>
      </c>
      <c r="F29" s="77" t="n">
        <v>300</v>
      </c>
      <c r="G29" s="78" t="s">
        <v>943</v>
      </c>
      <c r="H29" s="80"/>
    </row>
    <row r="30" customFormat="false" ht="15" hidden="false" customHeight="true" outlineLevel="0" collapsed="false">
      <c r="A30" s="77" t="n">
        <v>54</v>
      </c>
      <c r="B30" s="78" t="s">
        <v>51</v>
      </c>
      <c r="C30" s="78" t="s">
        <v>415</v>
      </c>
      <c r="D30" s="79" t="s">
        <v>412</v>
      </c>
      <c r="E30" s="77" t="s">
        <v>417</v>
      </c>
      <c r="F30" s="77" t="n">
        <v>300</v>
      </c>
      <c r="G30" s="78" t="s">
        <v>943</v>
      </c>
      <c r="H30" s="80"/>
    </row>
    <row r="31" customFormat="false" ht="15" hidden="false" customHeight="true" outlineLevel="0" collapsed="false">
      <c r="A31" s="77" t="n">
        <v>57</v>
      </c>
      <c r="B31" s="78" t="s">
        <v>90</v>
      </c>
      <c r="C31" s="78" t="s">
        <v>93</v>
      </c>
      <c r="D31" s="79" t="s">
        <v>89</v>
      </c>
      <c r="E31" s="77" t="s">
        <v>96</v>
      </c>
      <c r="F31" s="77" t="n">
        <v>300</v>
      </c>
      <c r="G31" s="78" t="s">
        <v>943</v>
      </c>
      <c r="H31" s="80"/>
    </row>
    <row r="32" customFormat="false" ht="23.25" hidden="false" customHeight="true" outlineLevel="0" collapsed="false">
      <c r="A32" s="77" t="n">
        <v>58</v>
      </c>
      <c r="B32" s="78" t="s">
        <v>90</v>
      </c>
      <c r="C32" s="78" t="s">
        <v>438</v>
      </c>
      <c r="D32" s="78" t="s">
        <v>435</v>
      </c>
      <c r="E32" s="77" t="s">
        <v>441</v>
      </c>
      <c r="F32" s="77" t="n">
        <v>300</v>
      </c>
      <c r="G32" s="78" t="s">
        <v>944</v>
      </c>
      <c r="H32" s="80" t="s">
        <v>946</v>
      </c>
    </row>
    <row r="33" customFormat="false" ht="23.25" hidden="false" customHeight="true" outlineLevel="0" collapsed="false">
      <c r="A33" s="77" t="n">
        <v>59</v>
      </c>
      <c r="B33" s="78" t="s">
        <v>90</v>
      </c>
      <c r="C33" s="78" t="s">
        <v>438</v>
      </c>
      <c r="D33" s="78" t="s">
        <v>435</v>
      </c>
      <c r="E33" s="77" t="s">
        <v>441</v>
      </c>
      <c r="F33" s="77" t="n">
        <v>300</v>
      </c>
      <c r="G33" s="78" t="s">
        <v>944</v>
      </c>
      <c r="H33" s="80" t="s">
        <v>946</v>
      </c>
    </row>
    <row r="34" customFormat="false" ht="15" hidden="false" customHeight="true" outlineLevel="0" collapsed="false">
      <c r="A34" s="77" t="n">
        <v>62</v>
      </c>
      <c r="B34" s="78" t="s">
        <v>163</v>
      </c>
      <c r="C34" s="78" t="s">
        <v>458</v>
      </c>
      <c r="D34" s="78" t="s">
        <v>455</v>
      </c>
      <c r="E34" s="77" t="s">
        <v>460</v>
      </c>
      <c r="F34" s="77" t="n">
        <v>300</v>
      </c>
      <c r="G34" s="78" t="s">
        <v>944</v>
      </c>
      <c r="H34" s="80"/>
    </row>
    <row r="35" customFormat="false" ht="15" hidden="false" customHeight="true" outlineLevel="0" collapsed="false">
      <c r="A35" s="77" t="n">
        <v>63</v>
      </c>
      <c r="B35" s="78" t="s">
        <v>51</v>
      </c>
      <c r="C35" s="78" t="s">
        <v>465</v>
      </c>
      <c r="D35" s="78" t="s">
        <v>462</v>
      </c>
      <c r="E35" s="77" t="s">
        <v>467</v>
      </c>
      <c r="F35" s="77" t="n">
        <v>300</v>
      </c>
      <c r="G35" s="78" t="s">
        <v>944</v>
      </c>
      <c r="H35" s="80"/>
    </row>
    <row r="36" customFormat="false" ht="15" hidden="false" customHeight="true" outlineLevel="0" collapsed="false">
      <c r="A36" s="77" t="n">
        <v>68</v>
      </c>
      <c r="B36" s="78" t="s">
        <v>90</v>
      </c>
      <c r="C36" s="78" t="s">
        <v>118</v>
      </c>
      <c r="D36" s="78" t="s">
        <v>114</v>
      </c>
      <c r="E36" s="77" t="s">
        <v>121</v>
      </c>
      <c r="F36" s="77" t="n">
        <v>300</v>
      </c>
      <c r="G36" s="78" t="s">
        <v>944</v>
      </c>
      <c r="H36" s="80"/>
    </row>
    <row r="37" customFormat="false" ht="15" hidden="false" customHeight="true" outlineLevel="0" collapsed="false">
      <c r="A37" s="77" t="n">
        <v>69</v>
      </c>
      <c r="B37" s="78" t="s">
        <v>51</v>
      </c>
      <c r="C37" s="78" t="s">
        <v>285</v>
      </c>
      <c r="D37" s="79" t="s">
        <v>282</v>
      </c>
      <c r="E37" s="77" t="s">
        <v>288</v>
      </c>
      <c r="F37" s="77" t="n">
        <v>300</v>
      </c>
      <c r="G37" s="78" t="s">
        <v>943</v>
      </c>
      <c r="H37" s="80"/>
    </row>
    <row r="38" customFormat="false" ht="15" hidden="false" customHeight="true" outlineLevel="0" collapsed="false">
      <c r="A38" s="77" t="n">
        <v>74</v>
      </c>
      <c r="B38" s="78" t="s">
        <v>163</v>
      </c>
      <c r="C38" s="78" t="s">
        <v>522</v>
      </c>
      <c r="D38" s="79" t="s">
        <v>519</v>
      </c>
      <c r="E38" s="77" t="s">
        <v>524</v>
      </c>
      <c r="F38" s="77" t="n">
        <v>300</v>
      </c>
      <c r="G38" s="78" t="s">
        <v>943</v>
      </c>
      <c r="H38" s="80"/>
    </row>
    <row r="39" customFormat="false" ht="15" hidden="false" customHeight="true" outlineLevel="0" collapsed="false">
      <c r="A39" s="77" t="n">
        <v>78</v>
      </c>
      <c r="B39" s="78" t="s">
        <v>51</v>
      </c>
      <c r="C39" s="78" t="s">
        <v>547</v>
      </c>
      <c r="D39" s="79" t="s">
        <v>544</v>
      </c>
      <c r="E39" s="77" t="s">
        <v>549</v>
      </c>
      <c r="F39" s="77" t="n">
        <v>300</v>
      </c>
      <c r="G39" s="78" t="s">
        <v>943</v>
      </c>
      <c r="H39" s="80"/>
    </row>
    <row r="40" customFormat="false" ht="15" hidden="false" customHeight="true" outlineLevel="0" collapsed="false">
      <c r="A40" s="77" t="n">
        <v>79</v>
      </c>
      <c r="B40" s="78" t="s">
        <v>51</v>
      </c>
      <c r="C40" s="78" t="s">
        <v>415</v>
      </c>
      <c r="D40" s="79" t="s">
        <v>551</v>
      </c>
      <c r="E40" s="77" t="s">
        <v>555</v>
      </c>
      <c r="F40" s="77" t="n">
        <v>300</v>
      </c>
      <c r="G40" s="78" t="s">
        <v>943</v>
      </c>
      <c r="H40" s="80"/>
    </row>
    <row r="41" customFormat="false" ht="15" hidden="false" customHeight="true" outlineLevel="0" collapsed="false">
      <c r="A41" s="77" t="n">
        <v>86</v>
      </c>
      <c r="B41" s="78" t="s">
        <v>61</v>
      </c>
      <c r="C41" s="78" t="s">
        <v>591</v>
      </c>
      <c r="D41" s="79" t="s">
        <v>588</v>
      </c>
      <c r="E41" s="77" t="s">
        <v>594</v>
      </c>
      <c r="F41" s="77" t="n">
        <v>300</v>
      </c>
      <c r="G41" s="78" t="s">
        <v>943</v>
      </c>
      <c r="H41" s="80"/>
    </row>
    <row r="42" customFormat="false" ht="15" hidden="false" customHeight="true" outlineLevel="0" collapsed="false">
      <c r="A42" s="77" t="n">
        <v>99</v>
      </c>
      <c r="B42" s="78" t="s">
        <v>73</v>
      </c>
      <c r="C42" s="78" t="s">
        <v>386</v>
      </c>
      <c r="D42" s="79" t="s">
        <v>383</v>
      </c>
      <c r="E42" s="77" t="s">
        <v>389</v>
      </c>
      <c r="F42" s="77" t="n">
        <v>250</v>
      </c>
      <c r="G42" s="78" t="s">
        <v>943</v>
      </c>
      <c r="H42" s="80"/>
    </row>
    <row r="43" customFormat="false" ht="15" hidden="false" customHeight="true" outlineLevel="0" collapsed="false">
      <c r="A43" s="77" t="n">
        <v>8</v>
      </c>
      <c r="B43" s="78" t="s">
        <v>90</v>
      </c>
      <c r="C43" s="78" t="s">
        <v>118</v>
      </c>
      <c r="D43" s="78" t="s">
        <v>114</v>
      </c>
      <c r="E43" s="77" t="s">
        <v>121</v>
      </c>
      <c r="F43" s="77" t="n">
        <v>200</v>
      </c>
      <c r="G43" s="78" t="s">
        <v>944</v>
      </c>
      <c r="H43" s="80"/>
    </row>
    <row r="44" customFormat="false" ht="15" hidden="false" customHeight="true" outlineLevel="0" collapsed="false">
      <c r="A44" s="77" t="n">
        <v>23</v>
      </c>
      <c r="B44" s="78" t="s">
        <v>51</v>
      </c>
      <c r="C44" s="78" t="s">
        <v>231</v>
      </c>
      <c r="D44" s="79" t="s">
        <v>228</v>
      </c>
      <c r="E44" s="77" t="s">
        <v>234</v>
      </c>
      <c r="F44" s="77" t="n">
        <v>200</v>
      </c>
      <c r="G44" s="78" t="s">
        <v>943</v>
      </c>
      <c r="H44" s="80"/>
    </row>
    <row r="45" customFormat="false" ht="15" hidden="false" customHeight="true" outlineLevel="0" collapsed="false">
      <c r="A45" s="77" t="n">
        <v>36</v>
      </c>
      <c r="B45" s="78" t="s">
        <v>90</v>
      </c>
      <c r="C45" s="78" t="s">
        <v>135</v>
      </c>
      <c r="D45" s="79" t="s">
        <v>131</v>
      </c>
      <c r="E45" s="77" t="s">
        <v>138</v>
      </c>
      <c r="F45" s="77" t="n">
        <v>200</v>
      </c>
      <c r="G45" s="78" t="s">
        <v>943</v>
      </c>
      <c r="H45" s="80"/>
    </row>
    <row r="46" customFormat="false" ht="15" hidden="false" customHeight="true" outlineLevel="0" collapsed="false">
      <c r="A46" s="77" t="n">
        <v>38</v>
      </c>
      <c r="B46" s="78" t="s">
        <v>163</v>
      </c>
      <c r="C46" s="78" t="s">
        <v>320</v>
      </c>
      <c r="D46" s="79" t="s">
        <v>317</v>
      </c>
      <c r="E46" s="77" t="s">
        <v>322</v>
      </c>
      <c r="F46" s="77" t="n">
        <v>200</v>
      </c>
      <c r="G46" s="78" t="s">
        <v>943</v>
      </c>
      <c r="H46" s="80"/>
    </row>
    <row r="47" customFormat="false" ht="15" hidden="false" customHeight="true" outlineLevel="0" collapsed="false">
      <c r="A47" s="77" t="n">
        <v>52</v>
      </c>
      <c r="B47" s="78" t="s">
        <v>73</v>
      </c>
      <c r="C47" s="78" t="s">
        <v>403</v>
      </c>
      <c r="D47" s="79" t="s">
        <v>399</v>
      </c>
      <c r="E47" s="77" t="s">
        <v>405</v>
      </c>
      <c r="F47" s="77" t="n">
        <v>200</v>
      </c>
      <c r="G47" s="78" t="s">
        <v>943</v>
      </c>
      <c r="H47" s="80"/>
    </row>
    <row r="48" customFormat="false" ht="15" hidden="false" customHeight="true" outlineLevel="0" collapsed="false">
      <c r="A48" s="77" t="n">
        <v>60</v>
      </c>
      <c r="B48" s="78" t="s">
        <v>163</v>
      </c>
      <c r="C48" s="78" t="s">
        <v>167</v>
      </c>
      <c r="D48" s="79" t="s">
        <v>447</v>
      </c>
      <c r="E48" s="77" t="s">
        <v>451</v>
      </c>
      <c r="F48" s="77" t="n">
        <v>200</v>
      </c>
      <c r="G48" s="78" t="s">
        <v>943</v>
      </c>
      <c r="H48" s="80"/>
    </row>
    <row r="49" customFormat="false" ht="15" hidden="false" customHeight="true" outlineLevel="0" collapsed="false">
      <c r="A49" s="77" t="n">
        <v>64</v>
      </c>
      <c r="B49" s="78" t="s">
        <v>90</v>
      </c>
      <c r="C49" s="78" t="s">
        <v>135</v>
      </c>
      <c r="D49" s="79" t="s">
        <v>131</v>
      </c>
      <c r="E49" s="77" t="s">
        <v>138</v>
      </c>
      <c r="F49" s="77" t="n">
        <v>200</v>
      </c>
      <c r="G49" s="78" t="s">
        <v>943</v>
      </c>
      <c r="H49" s="80"/>
    </row>
    <row r="50" customFormat="false" ht="15" hidden="false" customHeight="true" outlineLevel="0" collapsed="false">
      <c r="A50" s="77" t="n">
        <v>75</v>
      </c>
      <c r="B50" s="78" t="s">
        <v>163</v>
      </c>
      <c r="C50" s="78" t="s">
        <v>370</v>
      </c>
      <c r="D50" s="79" t="s">
        <v>525</v>
      </c>
      <c r="E50" s="77" t="s">
        <v>530</v>
      </c>
      <c r="F50" s="77" t="n">
        <v>200</v>
      </c>
      <c r="G50" s="78" t="s">
        <v>943</v>
      </c>
      <c r="H50" s="80"/>
    </row>
    <row r="51" customFormat="false" ht="15" hidden="false" customHeight="true" outlineLevel="0" collapsed="false">
      <c r="A51" s="77" t="n">
        <v>95</v>
      </c>
      <c r="B51" s="78" t="s">
        <v>163</v>
      </c>
      <c r="C51" s="78" t="s">
        <v>167</v>
      </c>
      <c r="D51" s="79" t="s">
        <v>634</v>
      </c>
      <c r="E51" s="77" t="s">
        <v>639</v>
      </c>
      <c r="F51" s="77" t="n">
        <v>200</v>
      </c>
      <c r="G51" s="78" t="s">
        <v>943</v>
      </c>
      <c r="H51" s="80"/>
    </row>
    <row r="52" customFormat="false" ht="15" hidden="false" customHeight="true" outlineLevel="0" collapsed="false">
      <c r="A52" s="77" t="n">
        <v>5</v>
      </c>
      <c r="B52" s="78" t="s">
        <v>90</v>
      </c>
      <c r="C52" s="78" t="s">
        <v>93</v>
      </c>
      <c r="D52" s="79" t="s">
        <v>89</v>
      </c>
      <c r="E52" s="77" t="s">
        <v>96</v>
      </c>
      <c r="F52" s="77" t="n">
        <v>150</v>
      </c>
      <c r="G52" s="78" t="s">
        <v>943</v>
      </c>
      <c r="H52" s="80"/>
    </row>
    <row r="53" customFormat="false" ht="15" hidden="false" customHeight="true" outlineLevel="0" collapsed="false">
      <c r="A53" s="77" t="n">
        <v>19</v>
      </c>
      <c r="B53" s="78" t="s">
        <v>51</v>
      </c>
      <c r="C53" s="78" t="s">
        <v>201</v>
      </c>
      <c r="D53" s="79" t="s">
        <v>198</v>
      </c>
      <c r="E53" s="77" t="s">
        <v>204</v>
      </c>
      <c r="F53" s="77" t="n">
        <v>150</v>
      </c>
      <c r="G53" s="78" t="s">
        <v>943</v>
      </c>
      <c r="H53" s="80"/>
    </row>
    <row r="54" customFormat="false" ht="15" hidden="false" customHeight="true" outlineLevel="0" collapsed="false">
      <c r="A54" s="77" t="n">
        <v>20</v>
      </c>
      <c r="B54" s="78" t="s">
        <v>51</v>
      </c>
      <c r="C54" s="78" t="s">
        <v>209</v>
      </c>
      <c r="D54" s="78" t="s">
        <v>206</v>
      </c>
      <c r="E54" s="77" t="s">
        <v>212</v>
      </c>
      <c r="F54" s="77" t="n">
        <v>150</v>
      </c>
      <c r="G54" s="78" t="s">
        <v>944</v>
      </c>
      <c r="H54" s="80"/>
    </row>
    <row r="55" customFormat="false" ht="15" hidden="false" customHeight="true" outlineLevel="0" collapsed="false">
      <c r="A55" s="77" t="n">
        <v>21</v>
      </c>
      <c r="B55" s="78" t="s">
        <v>51</v>
      </c>
      <c r="C55" s="78" t="s">
        <v>217</v>
      </c>
      <c r="D55" s="78" t="s">
        <v>213</v>
      </c>
      <c r="E55" s="77" t="s">
        <v>220</v>
      </c>
      <c r="F55" s="77" t="n">
        <v>150</v>
      </c>
      <c r="G55" s="78" t="s">
        <v>944</v>
      </c>
      <c r="H55" s="80"/>
    </row>
    <row r="56" customFormat="false" ht="15" hidden="false" customHeight="true" outlineLevel="0" collapsed="false">
      <c r="A56" s="77" t="n">
        <v>48</v>
      </c>
      <c r="B56" s="78" t="s">
        <v>73</v>
      </c>
      <c r="C56" s="78" t="s">
        <v>381</v>
      </c>
      <c r="D56" s="79" t="s">
        <v>378</v>
      </c>
      <c r="E56" s="77" t="s">
        <v>382</v>
      </c>
      <c r="F56" s="77" t="n">
        <v>150</v>
      </c>
      <c r="G56" s="78" t="s">
        <v>943</v>
      </c>
      <c r="H56" s="80"/>
    </row>
    <row r="57" customFormat="false" ht="15" hidden="false" customHeight="true" outlineLevel="0" collapsed="false">
      <c r="A57" s="77" t="n">
        <v>55</v>
      </c>
      <c r="B57" s="78" t="s">
        <v>73</v>
      </c>
      <c r="C57" s="78" t="s">
        <v>422</v>
      </c>
      <c r="D57" s="79" t="s">
        <v>419</v>
      </c>
      <c r="E57" s="77" t="s">
        <v>425</v>
      </c>
      <c r="F57" s="77" t="n">
        <v>150</v>
      </c>
      <c r="G57" s="78" t="s">
        <v>943</v>
      </c>
      <c r="H57" s="80"/>
    </row>
    <row r="58" customFormat="false" ht="15" hidden="false" customHeight="true" outlineLevel="0" collapsed="false">
      <c r="A58" s="77" t="n">
        <v>73</v>
      </c>
      <c r="B58" s="78" t="s">
        <v>51</v>
      </c>
      <c r="C58" s="78" t="s">
        <v>201</v>
      </c>
      <c r="D58" s="79" t="s">
        <v>198</v>
      </c>
      <c r="E58" s="77" t="s">
        <v>204</v>
      </c>
      <c r="F58" s="77" t="n">
        <v>150</v>
      </c>
      <c r="G58" s="78" t="s">
        <v>943</v>
      </c>
      <c r="H58" s="80"/>
    </row>
    <row r="59" customFormat="false" ht="15" hidden="false" customHeight="true" outlineLevel="0" collapsed="false">
      <c r="A59" s="77" t="n">
        <v>77</v>
      </c>
      <c r="B59" s="78" t="s">
        <v>51</v>
      </c>
      <c r="C59" s="78" t="s">
        <v>542</v>
      </c>
      <c r="D59" s="78" t="s">
        <v>538</v>
      </c>
      <c r="E59" s="77" t="s">
        <v>543</v>
      </c>
      <c r="F59" s="77" t="n">
        <v>150</v>
      </c>
      <c r="G59" s="78" t="s">
        <v>944</v>
      </c>
      <c r="H59" s="80"/>
    </row>
    <row r="60" customFormat="false" ht="15" hidden="false" customHeight="true" outlineLevel="0" collapsed="false">
      <c r="A60" s="77" t="n">
        <v>80</v>
      </c>
      <c r="B60" s="78" t="s">
        <v>51</v>
      </c>
      <c r="C60" s="78" t="s">
        <v>498</v>
      </c>
      <c r="D60" s="79" t="s">
        <v>213</v>
      </c>
      <c r="E60" s="77" t="s">
        <v>220</v>
      </c>
      <c r="F60" s="77" t="n">
        <v>150</v>
      </c>
      <c r="G60" s="78" t="s">
        <v>943</v>
      </c>
      <c r="H60" s="80"/>
    </row>
    <row r="61" customFormat="false" ht="15" hidden="false" customHeight="true" outlineLevel="0" collapsed="false">
      <c r="A61" s="77" t="n">
        <v>91</v>
      </c>
      <c r="B61" s="78" t="s">
        <v>73</v>
      </c>
      <c r="C61" s="78" t="s">
        <v>409</v>
      </c>
      <c r="D61" s="79" t="s">
        <v>613</v>
      </c>
      <c r="E61" s="77" t="s">
        <v>617</v>
      </c>
      <c r="F61" s="77" t="n">
        <v>150</v>
      </c>
      <c r="G61" s="78" t="s">
        <v>943</v>
      </c>
      <c r="H61" s="80"/>
    </row>
    <row r="62" customFormat="false" ht="15" hidden="false" customHeight="true" outlineLevel="0" collapsed="false">
      <c r="A62" s="77" t="n">
        <v>97</v>
      </c>
      <c r="B62" s="78" t="s">
        <v>51</v>
      </c>
      <c r="C62" s="78" t="s">
        <v>647</v>
      </c>
      <c r="D62" s="79" t="s">
        <v>213</v>
      </c>
      <c r="E62" s="77" t="s">
        <v>220</v>
      </c>
      <c r="F62" s="77" t="n">
        <v>150</v>
      </c>
      <c r="G62" s="78" t="s">
        <v>943</v>
      </c>
      <c r="H62" s="80"/>
    </row>
    <row r="63" customFormat="false" ht="23.25" hidden="false" customHeight="true" outlineLevel="0" collapsed="false">
      <c r="A63" s="81" t="n">
        <v>14</v>
      </c>
      <c r="B63" s="82" t="s">
        <v>163</v>
      </c>
      <c r="C63" s="82" t="s">
        <v>167</v>
      </c>
      <c r="D63" s="82" t="s">
        <v>162</v>
      </c>
      <c r="E63" s="81" t="s">
        <v>170</v>
      </c>
      <c r="F63" s="81" t="n">
        <v>100</v>
      </c>
      <c r="G63" s="82" t="s">
        <v>920</v>
      </c>
      <c r="H63" s="83" t="s">
        <v>947</v>
      </c>
    </row>
    <row r="64" customFormat="false" ht="15" hidden="false" customHeight="true" outlineLevel="0" collapsed="false">
      <c r="A64" s="77" t="n">
        <v>35</v>
      </c>
      <c r="B64" s="78" t="s">
        <v>51</v>
      </c>
      <c r="C64" s="78" t="s">
        <v>304</v>
      </c>
      <c r="D64" s="78" t="s">
        <v>301</v>
      </c>
      <c r="E64" s="77" t="s">
        <v>306</v>
      </c>
      <c r="F64" s="77" t="n">
        <v>100</v>
      </c>
      <c r="G64" s="78" t="s">
        <v>944</v>
      </c>
      <c r="H64" s="80"/>
    </row>
    <row r="65" customFormat="false" ht="15" hidden="false" customHeight="true" outlineLevel="0" collapsed="false">
      <c r="A65" s="77" t="n">
        <v>37</v>
      </c>
      <c r="B65" s="78" t="s">
        <v>163</v>
      </c>
      <c r="C65" s="78" t="s">
        <v>314</v>
      </c>
      <c r="D65" s="79" t="s">
        <v>311</v>
      </c>
      <c r="E65" s="77" t="s">
        <v>316</v>
      </c>
      <c r="F65" s="77" t="n">
        <v>100</v>
      </c>
      <c r="G65" s="78" t="s">
        <v>943</v>
      </c>
      <c r="H65" s="80"/>
    </row>
    <row r="66" customFormat="false" ht="15" hidden="false" customHeight="true" outlineLevel="0" collapsed="false">
      <c r="A66" s="77" t="n">
        <v>49</v>
      </c>
      <c r="B66" s="78" t="s">
        <v>73</v>
      </c>
      <c r="C66" s="78" t="s">
        <v>386</v>
      </c>
      <c r="D66" s="79" t="s">
        <v>383</v>
      </c>
      <c r="E66" s="77" t="s">
        <v>389</v>
      </c>
      <c r="F66" s="77" t="n">
        <v>100</v>
      </c>
      <c r="G66" s="78" t="s">
        <v>943</v>
      </c>
      <c r="H66" s="80"/>
    </row>
    <row r="67" customFormat="false" ht="15" hidden="false" customHeight="true" outlineLevel="0" collapsed="false">
      <c r="A67" s="77" t="n">
        <v>70</v>
      </c>
      <c r="B67" s="78" t="s">
        <v>51</v>
      </c>
      <c r="C67" s="78" t="s">
        <v>498</v>
      </c>
      <c r="D67" s="78" t="s">
        <v>495</v>
      </c>
      <c r="E67" s="77" t="s">
        <v>501</v>
      </c>
      <c r="F67" s="77" t="n">
        <v>100</v>
      </c>
      <c r="G67" s="78" t="s">
        <v>944</v>
      </c>
      <c r="H67" s="80"/>
    </row>
    <row r="68" customFormat="false" ht="15" hidden="false" customHeight="true" outlineLevel="0" collapsed="false">
      <c r="A68" s="77" t="n">
        <v>71</v>
      </c>
      <c r="B68" s="78" t="s">
        <v>51</v>
      </c>
      <c r="C68" s="78" t="s">
        <v>251</v>
      </c>
      <c r="D68" s="78" t="s">
        <v>247</v>
      </c>
      <c r="E68" s="77" t="s">
        <v>254</v>
      </c>
      <c r="F68" s="77" t="n">
        <v>100</v>
      </c>
      <c r="G68" s="78" t="s">
        <v>944</v>
      </c>
      <c r="H68" s="80"/>
    </row>
    <row r="69" customFormat="false" ht="23.25" hidden="false" customHeight="true" outlineLevel="0" collapsed="false">
      <c r="A69" s="77" t="n">
        <v>92</v>
      </c>
      <c r="B69" s="78" t="s">
        <v>90</v>
      </c>
      <c r="C69" s="78" t="s">
        <v>438</v>
      </c>
      <c r="D69" s="78" t="s">
        <v>435</v>
      </c>
      <c r="E69" s="77" t="s">
        <v>441</v>
      </c>
      <c r="F69" s="77" t="n">
        <v>100</v>
      </c>
      <c r="G69" s="78" t="s">
        <v>944</v>
      </c>
      <c r="H69" s="80" t="s">
        <v>946</v>
      </c>
    </row>
    <row r="70" customFormat="false" ht="15" hidden="false" customHeight="true" outlineLevel="0" collapsed="false">
      <c r="A70" s="77" t="n">
        <v>98</v>
      </c>
      <c r="B70" s="78" t="s">
        <v>73</v>
      </c>
      <c r="C70" s="78" t="s">
        <v>386</v>
      </c>
      <c r="D70" s="79" t="s">
        <v>383</v>
      </c>
      <c r="E70" s="77" t="s">
        <v>389</v>
      </c>
      <c r="F70" s="77" t="n">
        <v>100</v>
      </c>
      <c r="G70" s="78" t="s">
        <v>943</v>
      </c>
      <c r="H70" s="80"/>
    </row>
    <row r="72" customFormat="false" ht="15" hidden="false" customHeight="true" outlineLevel="0" collapsed="false">
      <c r="A72" s="84" t="s">
        <v>948</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24"/>
    <col collapsed="false" customWidth="true" hidden="false" outlineLevel="0" max="4" min="4" style="1" width="40"/>
    <col collapsed="false" customWidth="true" hidden="false" outlineLevel="0" max="5" min="5" style="1" width="32"/>
    <col collapsed="false" customWidth="true" hidden="false" outlineLevel="0" max="6" min="6" style="1" width="12"/>
    <col collapsed="false" customWidth="true" hidden="false" outlineLevel="0" max="7" min="7" style="1" width="18"/>
    <col collapsed="false" customWidth="true" hidden="false" outlineLevel="0" max="8" min="8" style="1" width="13"/>
    <col collapsed="false" customWidth="true" hidden="false" outlineLevel="0" max="10" min="9" style="1" width="9"/>
    <col collapsed="false" customWidth="true" hidden="false" outlineLevel="0" max="11" min="11" style="1" width="16"/>
    <col collapsed="false" customWidth="true" hidden="false" outlineLevel="0" max="12" min="12" style="1" width="10"/>
    <col collapsed="false" customWidth="true" hidden="false" outlineLevel="0" max="13" min="13" style="1" width="9"/>
    <col collapsed="false" customWidth="true" hidden="false" outlineLevel="0" max="14" min="14" style="1" width="14"/>
    <col collapsed="false" customWidth="true" hidden="false" outlineLevel="0" max="15" min="15" style="1" width="9"/>
    <col collapsed="false" customWidth="true" hidden="false" outlineLevel="0" max="16" min="16" style="1" width="70"/>
  </cols>
  <sheetData>
    <row r="1" customFormat="false" ht="17.25" hidden="false" customHeight="true" outlineLevel="0" collapsed="false">
      <c r="A1" s="85" t="s">
        <v>949</v>
      </c>
    </row>
    <row r="2" customFormat="false" ht="15" hidden="false" customHeight="true" outlineLevel="0" collapsed="false">
      <c r="A2" s="1" t="s">
        <v>950</v>
      </c>
    </row>
    <row r="4" customFormat="false" ht="41.25" hidden="false" customHeight="true" outlineLevel="0" collapsed="false">
      <c r="A4" s="86" t="s">
        <v>27</v>
      </c>
      <c r="B4" s="86" t="s">
        <v>951</v>
      </c>
      <c r="C4" s="86" t="s">
        <v>952</v>
      </c>
      <c r="D4" s="86" t="s">
        <v>813</v>
      </c>
      <c r="E4" s="86" t="s">
        <v>953</v>
      </c>
      <c r="F4" s="86" t="s">
        <v>28</v>
      </c>
      <c r="G4" s="86" t="s">
        <v>842</v>
      </c>
      <c r="H4" s="86" t="s">
        <v>954</v>
      </c>
      <c r="I4" s="86" t="s">
        <v>34</v>
      </c>
      <c r="J4" s="86" t="s">
        <v>35</v>
      </c>
      <c r="K4" s="86" t="s">
        <v>955</v>
      </c>
      <c r="L4" s="86" t="s">
        <v>37</v>
      </c>
      <c r="M4" s="86" t="s">
        <v>39</v>
      </c>
      <c r="N4" s="86" t="s">
        <v>956</v>
      </c>
      <c r="O4" s="86" t="s">
        <v>957</v>
      </c>
      <c r="P4" s="86" t="s">
        <v>958</v>
      </c>
    </row>
    <row r="5" customFormat="false" ht="27.75" hidden="false" customHeight="true" outlineLevel="0" collapsed="false">
      <c r="A5" s="87" t="s">
        <v>959</v>
      </c>
      <c r="B5" s="87" t="s">
        <v>960</v>
      </c>
      <c r="C5" s="87" t="s">
        <v>961</v>
      </c>
      <c r="D5" s="87" t="s">
        <v>660</v>
      </c>
      <c r="E5" s="87" t="s">
        <v>962</v>
      </c>
      <c r="F5" s="87" t="s">
        <v>657</v>
      </c>
      <c r="G5" s="87" t="s">
        <v>963</v>
      </c>
      <c r="H5" s="87" t="s">
        <v>53</v>
      </c>
      <c r="I5" s="87" t="n">
        <v>3</v>
      </c>
      <c r="J5" s="87" t="n">
        <v>1</v>
      </c>
      <c r="K5" s="88"/>
      <c r="L5" s="87" t="n">
        <f aca="false">INDEX(Matriz!$C$7:$E$9,I5,J5)</f>
        <v>150</v>
      </c>
      <c r="M5" s="87" t="n">
        <f aca="false">IF(ISNUMBER(SEARCH("Seguridad",H5)),Matriz!$C$20,0)</f>
        <v>100</v>
      </c>
      <c r="N5" s="87" t="n">
        <f aca="false">IF(O5="Sí",L5+MIN(M5,Matriz!$C$24),0)</f>
        <v>250</v>
      </c>
      <c r="O5" s="87" t="s">
        <v>964</v>
      </c>
      <c r="P5" s="87" t="s">
        <v>965</v>
      </c>
    </row>
    <row r="6" customFormat="false" ht="27.75" hidden="false" customHeight="true" outlineLevel="0" collapsed="false">
      <c r="A6" s="87" t="s">
        <v>966</v>
      </c>
      <c r="B6" s="87" t="s">
        <v>960</v>
      </c>
      <c r="C6" s="87" t="s">
        <v>967</v>
      </c>
      <c r="D6" s="87" t="s">
        <v>968</v>
      </c>
      <c r="E6" s="87" t="s">
        <v>435</v>
      </c>
      <c r="F6" s="87" t="s">
        <v>657</v>
      </c>
      <c r="G6" s="87" t="s">
        <v>963</v>
      </c>
      <c r="H6" s="87" t="s">
        <v>151</v>
      </c>
      <c r="I6" s="87" t="n">
        <v>3</v>
      </c>
      <c r="J6" s="87" t="n">
        <v>1</v>
      </c>
      <c r="K6" s="88"/>
      <c r="L6" s="87" t="n">
        <f aca="false">INDEX(Matriz!$C$7:$E$9,I6,J6)</f>
        <v>150</v>
      </c>
      <c r="M6" s="87" t="n">
        <f aca="false">IF(ISNUMBER(SEARCH("Seguridad",H6)),Matriz!$C$20,0)</f>
        <v>0</v>
      </c>
      <c r="N6" s="87" t="n">
        <f aca="false">IF(O6="Sí",L6+MIN(M6,Matriz!$C$24),0)</f>
        <v>150</v>
      </c>
      <c r="O6" s="87" t="s">
        <v>964</v>
      </c>
      <c r="P6" s="87" t="s">
        <v>969</v>
      </c>
    </row>
    <row r="7" customFormat="false" ht="15" hidden="false" customHeight="true" outlineLevel="0" collapsed="false">
      <c r="A7" s="89" t="s">
        <v>970</v>
      </c>
      <c r="B7" s="89" t="s">
        <v>971</v>
      </c>
      <c r="C7" s="89" t="s">
        <v>972</v>
      </c>
      <c r="D7" s="89" t="s">
        <v>973</v>
      </c>
      <c r="E7" s="89" t="s">
        <v>971</v>
      </c>
      <c r="F7" s="89" t="s">
        <v>618</v>
      </c>
      <c r="G7" s="89" t="s">
        <v>963</v>
      </c>
      <c r="H7" s="89" t="s">
        <v>974</v>
      </c>
      <c r="I7" s="89" t="n">
        <v>2</v>
      </c>
      <c r="J7" s="89" t="n">
        <v>3</v>
      </c>
      <c r="K7" s="90"/>
      <c r="L7" s="89" t="n">
        <f aca="false">INDEX(Matriz!$C$7:$E$9,I7,J7)</f>
        <v>300</v>
      </c>
      <c r="M7" s="89" t="n">
        <f aca="false">IF(ISNUMBER(SEARCH("Seguridad",H7)),Matriz!$C$20,0)</f>
        <v>0</v>
      </c>
      <c r="N7" s="89" t="n">
        <f aca="false">IF(O7="Sí",L7+MIN(M7,Matriz!$C$24),0)</f>
        <v>0</v>
      </c>
      <c r="O7" s="89" t="s">
        <v>975</v>
      </c>
      <c r="P7" s="89" t="s">
        <v>976</v>
      </c>
    </row>
    <row r="8" customFormat="false" ht="15" hidden="false" customHeight="true" outlineLevel="0" collapsed="false">
      <c r="A8" s="87" t="s">
        <v>977</v>
      </c>
      <c r="B8" s="87" t="s">
        <v>978</v>
      </c>
      <c r="C8" s="87" t="s">
        <v>979</v>
      </c>
      <c r="D8" s="87" t="s">
        <v>980</v>
      </c>
      <c r="E8" s="87" t="s">
        <v>981</v>
      </c>
      <c r="F8" s="87" t="s">
        <v>665</v>
      </c>
      <c r="G8" s="87" t="s">
        <v>963</v>
      </c>
      <c r="H8" s="87" t="s">
        <v>187</v>
      </c>
      <c r="I8" s="87" t="n">
        <v>2</v>
      </c>
      <c r="J8" s="87" t="n">
        <v>1</v>
      </c>
      <c r="K8" s="88"/>
      <c r="L8" s="87" t="n">
        <f aca="false">INDEX(Matriz!$C$7:$E$9,I8,J8)</f>
        <v>100</v>
      </c>
      <c r="M8" s="87" t="n">
        <f aca="false">IF(ISNUMBER(SEARCH("Seguridad",H8)),Matriz!$C$20,0)</f>
        <v>0</v>
      </c>
      <c r="N8" s="87" t="n">
        <f aca="false">IF(O8="Sí",L8+MIN(M8,Matriz!$C$24),0)</f>
        <v>100</v>
      </c>
      <c r="O8" s="87" t="s">
        <v>964</v>
      </c>
      <c r="P8" s="87" t="s">
        <v>982</v>
      </c>
    </row>
    <row r="9" customFormat="false" ht="15" hidden="false" customHeight="true" outlineLevel="0" collapsed="false">
      <c r="A9" s="89" t="s">
        <v>983</v>
      </c>
      <c r="B9" s="89" t="s">
        <v>984</v>
      </c>
      <c r="C9" s="89" t="s">
        <v>985</v>
      </c>
      <c r="D9" s="89" t="s">
        <v>757</v>
      </c>
      <c r="E9" s="89" t="s">
        <v>986</v>
      </c>
      <c r="F9" s="89" t="s">
        <v>987</v>
      </c>
      <c r="G9" s="89" t="s">
        <v>988</v>
      </c>
      <c r="H9" s="89" t="s">
        <v>63</v>
      </c>
      <c r="I9" s="89" t="n">
        <v>3</v>
      </c>
      <c r="J9" s="89" t="n">
        <v>3</v>
      </c>
      <c r="K9" s="90"/>
      <c r="L9" s="89" t="n">
        <f aca="false">INDEX(Matriz!$C$7:$E$9,I9,J9)</f>
        <v>450</v>
      </c>
      <c r="M9" s="89" t="n">
        <f aca="false">IF(ISNUMBER(SEARCH("Seguridad",H9)),Matriz!$C$20,0)</f>
        <v>0</v>
      </c>
      <c r="N9" s="89" t="n">
        <f aca="false">IF(O9="Sí",L9+MIN(M9,Matriz!$C$24),0)</f>
        <v>0</v>
      </c>
      <c r="O9" s="89" t="s">
        <v>975</v>
      </c>
      <c r="P9" s="89" t="s">
        <v>989</v>
      </c>
    </row>
    <row r="10" customFormat="false" ht="15" hidden="false" customHeight="true" outlineLevel="0" collapsed="false">
      <c r="A10" s="87" t="s">
        <v>990</v>
      </c>
      <c r="B10" s="87" t="s">
        <v>341</v>
      </c>
      <c r="C10" s="87" t="s">
        <v>991</v>
      </c>
      <c r="D10" s="87" t="s">
        <v>673</v>
      </c>
      <c r="E10" s="87" t="s">
        <v>341</v>
      </c>
      <c r="F10" s="87" t="s">
        <v>670</v>
      </c>
      <c r="G10" s="87" t="s">
        <v>963</v>
      </c>
      <c r="H10" s="87" t="s">
        <v>53</v>
      </c>
      <c r="I10" s="87" t="n">
        <v>3</v>
      </c>
      <c r="J10" s="87" t="n">
        <v>1</v>
      </c>
      <c r="K10" s="88"/>
      <c r="L10" s="87" t="n">
        <f aca="false">INDEX(Matriz!$C$7:$E$9,I10,J10)</f>
        <v>150</v>
      </c>
      <c r="M10" s="87" t="n">
        <f aca="false">IF(ISNUMBER(SEARCH("Seguridad",H10)),Matriz!$C$20,0)</f>
        <v>100</v>
      </c>
      <c r="N10" s="87" t="n">
        <f aca="false">IF(O10="Sí",L10+MIN(M10,Matriz!$C$24),0)</f>
        <v>250</v>
      </c>
      <c r="O10" s="87" t="s">
        <v>964</v>
      </c>
      <c r="P10" s="87" t="s">
        <v>992</v>
      </c>
    </row>
    <row r="11" customFormat="false" ht="27.75" hidden="false" customHeight="true" outlineLevel="0" collapsed="false">
      <c r="A11" s="89" t="s">
        <v>993</v>
      </c>
      <c r="B11" s="89" t="s">
        <v>994</v>
      </c>
      <c r="C11" s="89" t="s">
        <v>995</v>
      </c>
      <c r="D11" s="89" t="s">
        <v>760</v>
      </c>
      <c r="E11" s="89" t="s">
        <v>994</v>
      </c>
      <c r="F11" s="89"/>
      <c r="G11" s="89" t="s">
        <v>996</v>
      </c>
      <c r="H11" s="89" t="s">
        <v>53</v>
      </c>
      <c r="I11" s="89" t="n">
        <v>3</v>
      </c>
      <c r="J11" s="89" t="n">
        <v>1</v>
      </c>
      <c r="K11" s="90"/>
      <c r="L11" s="89" t="n">
        <f aca="false">INDEX(Matriz!$C$7:$E$9,I11,J11)</f>
        <v>150</v>
      </c>
      <c r="M11" s="89" t="n">
        <f aca="false">IF(ISNUMBER(SEARCH("Seguridad",H11)),Matriz!$C$20,0)</f>
        <v>100</v>
      </c>
      <c r="N11" s="89" t="n">
        <f aca="false">IF(O11="Sí",L11+MIN(M11,Matriz!$C$24),0)</f>
        <v>0</v>
      </c>
      <c r="O11" s="89" t="s">
        <v>975</v>
      </c>
      <c r="P11" s="89" t="s">
        <v>997</v>
      </c>
    </row>
    <row r="12" customFormat="false" ht="15" hidden="false" customHeight="true" outlineLevel="0" collapsed="false">
      <c r="A12" s="87" t="s">
        <v>998</v>
      </c>
      <c r="B12" s="87" t="s">
        <v>478</v>
      </c>
      <c r="C12" s="87" t="s">
        <v>999</v>
      </c>
      <c r="D12" s="87" t="s">
        <v>1000</v>
      </c>
      <c r="E12" s="87" t="s">
        <v>478</v>
      </c>
      <c r="F12" s="87" t="s">
        <v>675</v>
      </c>
      <c r="G12" s="87" t="s">
        <v>963</v>
      </c>
      <c r="H12" s="87" t="s">
        <v>371</v>
      </c>
      <c r="I12" s="87" t="n">
        <v>3</v>
      </c>
      <c r="J12" s="87" t="n">
        <v>1</v>
      </c>
      <c r="K12" s="88"/>
      <c r="L12" s="87" t="n">
        <f aca="false">INDEX(Matriz!$C$7:$E$9,I12,J12)</f>
        <v>150</v>
      </c>
      <c r="M12" s="87" t="n">
        <f aca="false">IF(ISNUMBER(SEARCH("Seguridad",H12)),Matriz!$C$20,0)</f>
        <v>0</v>
      </c>
      <c r="N12" s="87" t="n">
        <f aca="false">IF(O12="Sí",L12+MIN(M12,Matriz!$C$24),0)</f>
        <v>150</v>
      </c>
      <c r="O12" s="87" t="s">
        <v>964</v>
      </c>
      <c r="P12" s="87" t="s">
        <v>1001</v>
      </c>
    </row>
    <row r="13" customFormat="false" ht="15" hidden="false" customHeight="true" outlineLevel="0" collapsed="false">
      <c r="A13" s="89" t="s">
        <v>1002</v>
      </c>
      <c r="B13" s="89" t="s">
        <v>1003</v>
      </c>
      <c r="C13" s="89" t="s">
        <v>1004</v>
      </c>
      <c r="D13" s="89" t="s">
        <v>1005</v>
      </c>
      <c r="E13" s="89" t="s">
        <v>1003</v>
      </c>
      <c r="F13" s="89"/>
      <c r="G13" s="89" t="s">
        <v>1006</v>
      </c>
      <c r="H13" s="89" t="s">
        <v>974</v>
      </c>
      <c r="I13" s="89" t="n">
        <v>2</v>
      </c>
      <c r="J13" s="89" t="n">
        <v>2</v>
      </c>
      <c r="K13" s="90"/>
      <c r="L13" s="89" t="n">
        <f aca="false">INDEX(Matriz!$C$7:$E$9,I13,J13)</f>
        <v>200</v>
      </c>
      <c r="M13" s="89" t="n">
        <f aca="false">IF(ISNUMBER(SEARCH("Seguridad",H13)),Matriz!$C$20,0)</f>
        <v>0</v>
      </c>
      <c r="N13" s="89" t="n">
        <f aca="false">IF(O13="Sí",L13+MIN(M13,Matriz!$C$24),0)</f>
        <v>0</v>
      </c>
      <c r="O13" s="89" t="s">
        <v>975</v>
      </c>
      <c r="P13" s="89" t="s">
        <v>1007</v>
      </c>
    </row>
    <row r="14" customFormat="false" ht="15" hidden="false" customHeight="true" outlineLevel="0" collapsed="false">
      <c r="A14" s="87" t="s">
        <v>1008</v>
      </c>
      <c r="B14" s="87" t="s">
        <v>1009</v>
      </c>
      <c r="C14" s="87" t="s">
        <v>1010</v>
      </c>
      <c r="D14" s="87" t="s">
        <v>683</v>
      </c>
      <c r="E14" s="87" t="s">
        <v>1011</v>
      </c>
      <c r="F14" s="87" t="s">
        <v>680</v>
      </c>
      <c r="G14" s="87" t="s">
        <v>963</v>
      </c>
      <c r="H14" s="87" t="s">
        <v>151</v>
      </c>
      <c r="I14" s="87" t="n">
        <v>3</v>
      </c>
      <c r="J14" s="87" t="n">
        <v>1</v>
      </c>
      <c r="K14" s="88"/>
      <c r="L14" s="87" t="n">
        <f aca="false">INDEX(Matriz!$C$7:$E$9,I14,J14)</f>
        <v>150</v>
      </c>
      <c r="M14" s="87" t="n">
        <f aca="false">IF(ISNUMBER(SEARCH("Seguridad",H14)),Matriz!$C$20,0)</f>
        <v>0</v>
      </c>
      <c r="N14" s="87" t="n">
        <f aca="false">IF(O14="Sí",L14+MIN(M14,Matriz!$C$24),0)</f>
        <v>150</v>
      </c>
      <c r="O14" s="87" t="s">
        <v>964</v>
      </c>
      <c r="P14" s="87" t="s">
        <v>1012</v>
      </c>
    </row>
    <row r="15" customFormat="false" ht="27.75" hidden="false" customHeight="true" outlineLevel="0" collapsed="false">
      <c r="A15" s="87" t="s">
        <v>1013</v>
      </c>
      <c r="B15" s="87" t="s">
        <v>1014</v>
      </c>
      <c r="C15" s="87" t="s">
        <v>991</v>
      </c>
      <c r="D15" s="87" t="s">
        <v>1015</v>
      </c>
      <c r="E15" s="87" t="s">
        <v>687</v>
      </c>
      <c r="F15" s="87" t="s">
        <v>686</v>
      </c>
      <c r="G15" s="87" t="s">
        <v>963</v>
      </c>
      <c r="H15" s="87" t="s">
        <v>1016</v>
      </c>
      <c r="I15" s="87" t="n">
        <v>2</v>
      </c>
      <c r="J15" s="87" t="n">
        <v>1</v>
      </c>
      <c r="K15" s="88"/>
      <c r="L15" s="87" t="n">
        <f aca="false">INDEX(Matriz!$C$7:$E$9,I15,J15)</f>
        <v>100</v>
      </c>
      <c r="M15" s="87" t="n">
        <f aca="false">IF(ISNUMBER(SEARCH("Seguridad",H15)),Matriz!$C$20,0)</f>
        <v>0</v>
      </c>
      <c r="N15" s="87" t="n">
        <f aca="false">IF(O15="Sí",L15+MIN(M15,Matriz!$C$24),0)</f>
        <v>100</v>
      </c>
      <c r="O15" s="87" t="s">
        <v>964</v>
      </c>
      <c r="P15" s="87" t="s">
        <v>1017</v>
      </c>
    </row>
    <row r="16" customFormat="false" ht="15" hidden="false" customHeight="true" outlineLevel="0" collapsed="false">
      <c r="A16" s="87" t="s">
        <v>1018</v>
      </c>
      <c r="B16" s="87" t="s">
        <v>538</v>
      </c>
      <c r="C16" s="87" t="s">
        <v>1019</v>
      </c>
      <c r="D16" s="87" t="s">
        <v>1020</v>
      </c>
      <c r="E16" s="87" t="s">
        <v>538</v>
      </c>
      <c r="F16" s="87" t="s">
        <v>665</v>
      </c>
      <c r="G16" s="87" t="s">
        <v>963</v>
      </c>
      <c r="H16" s="87" t="s">
        <v>53</v>
      </c>
      <c r="I16" s="87" t="n">
        <v>3</v>
      </c>
      <c r="J16" s="87" t="n">
        <v>1</v>
      </c>
      <c r="K16" s="88"/>
      <c r="L16" s="87" t="n">
        <f aca="false">INDEX(Matriz!$C$7:$E$9,I16,J16)</f>
        <v>150</v>
      </c>
      <c r="M16" s="87" t="n">
        <f aca="false">IF(ISNUMBER(SEARCH("Seguridad",H16)),Matriz!$C$20,0)</f>
        <v>100</v>
      </c>
      <c r="N16" s="87" t="n">
        <f aca="false">IF(O16="Sí",L16+MIN(M16,Matriz!$C$24),0)</f>
        <v>250</v>
      </c>
      <c r="O16" s="87" t="s">
        <v>964</v>
      </c>
      <c r="P16" s="87" t="s">
        <v>1021</v>
      </c>
    </row>
    <row r="17" customFormat="false" ht="15" hidden="false" customHeight="true" outlineLevel="0" collapsed="false">
      <c r="A17" s="91" t="s">
        <v>1022</v>
      </c>
      <c r="B17" s="91" t="s">
        <v>1023</v>
      </c>
      <c r="C17" s="91" t="s">
        <v>1024</v>
      </c>
      <c r="D17" s="91" t="s">
        <v>1025</v>
      </c>
      <c r="E17" s="91" t="s">
        <v>1023</v>
      </c>
      <c r="F17" s="91" t="s">
        <v>1026</v>
      </c>
      <c r="G17" s="91" t="s">
        <v>1027</v>
      </c>
      <c r="H17" s="91" t="s">
        <v>849</v>
      </c>
      <c r="I17" s="91" t="n">
        <v>1</v>
      </c>
      <c r="J17" s="91" t="n">
        <v>1</v>
      </c>
      <c r="K17" s="92"/>
      <c r="L17" s="91" t="n">
        <f aca="false">INDEX(Matriz!$C$7:$E$9,I17,J17)</f>
        <v>50</v>
      </c>
      <c r="M17" s="91" t="n">
        <f aca="false">IF(ISNUMBER(SEARCH("Seguridad",H17)),Matriz!$C$20,0)</f>
        <v>0</v>
      </c>
      <c r="N17" s="91" t="n">
        <f aca="false">IF(O17="Sí",L17+MIN(M17,Matriz!$C$24),0)</f>
        <v>0</v>
      </c>
      <c r="O17" s="91" t="s">
        <v>1028</v>
      </c>
      <c r="P17" s="91" t="s">
        <v>1029</v>
      </c>
    </row>
    <row r="18" customFormat="false" ht="27.75" hidden="false" customHeight="true" outlineLevel="0" collapsed="false">
      <c r="A18" s="87" t="s">
        <v>1030</v>
      </c>
      <c r="B18" s="87" t="s">
        <v>1031</v>
      </c>
      <c r="C18" s="87" t="s">
        <v>1032</v>
      </c>
      <c r="D18" s="87" t="s">
        <v>1033</v>
      </c>
      <c r="E18" s="87" t="s">
        <v>1034</v>
      </c>
      <c r="F18" s="87" t="s">
        <v>695</v>
      </c>
      <c r="G18" s="87" t="s">
        <v>963</v>
      </c>
      <c r="H18" s="87" t="s">
        <v>371</v>
      </c>
      <c r="I18" s="87" t="n">
        <v>3</v>
      </c>
      <c r="J18" s="87" t="n">
        <v>2</v>
      </c>
      <c r="K18" s="88" t="n">
        <v>332865</v>
      </c>
      <c r="L18" s="87" t="n">
        <f aca="false">INDEX(Matriz!$C$7:$E$9,I18,J18)</f>
        <v>300</v>
      </c>
      <c r="M18" s="87" t="n">
        <f aca="false">IF(ISNUMBER(SEARCH("Seguridad",H18)),Matriz!$C$20,0)</f>
        <v>0</v>
      </c>
      <c r="N18" s="87" t="n">
        <f aca="false">IF(O18="Sí",L18+MIN(M18,Matriz!$C$24),0)</f>
        <v>300</v>
      </c>
      <c r="O18" s="87" t="s">
        <v>964</v>
      </c>
      <c r="P18" s="87" t="s">
        <v>1035</v>
      </c>
    </row>
    <row r="19" customFormat="false" ht="15" hidden="false" customHeight="true" outlineLevel="0" collapsed="false">
      <c r="A19" s="91" t="s">
        <v>1036</v>
      </c>
      <c r="B19" s="91" t="s">
        <v>1037</v>
      </c>
      <c r="C19" s="91" t="s">
        <v>1038</v>
      </c>
      <c r="D19" s="91" t="s">
        <v>1039</v>
      </c>
      <c r="E19" s="91" t="s">
        <v>1037</v>
      </c>
      <c r="F19" s="91" t="s">
        <v>1040</v>
      </c>
      <c r="G19" s="91" t="s">
        <v>1041</v>
      </c>
      <c r="H19" s="91" t="s">
        <v>1042</v>
      </c>
      <c r="I19" s="91" t="n">
        <v>1</v>
      </c>
      <c r="J19" s="91" t="n">
        <v>3</v>
      </c>
      <c r="K19" s="92"/>
      <c r="L19" s="91" t="n">
        <f aca="false">INDEX(Matriz!$C$7:$E$9,I19,J19)</f>
        <v>150</v>
      </c>
      <c r="M19" s="91" t="n">
        <f aca="false">IF(ISNUMBER(SEARCH("Seguridad",H19)),Matriz!$C$20,0)</f>
        <v>0</v>
      </c>
      <c r="N19" s="91" t="n">
        <f aca="false">IF(O19="Sí",L19+MIN(M19,Matriz!$C$24),0)</f>
        <v>0</v>
      </c>
      <c r="O19" s="91" t="s">
        <v>1028</v>
      </c>
      <c r="P19" s="91" t="s">
        <v>1043</v>
      </c>
    </row>
    <row r="20" customFormat="false" ht="15" hidden="false" customHeight="true" outlineLevel="0" collapsed="false">
      <c r="A20" s="87" t="s">
        <v>1044</v>
      </c>
      <c r="B20" s="87" t="s">
        <v>1045</v>
      </c>
      <c r="C20" s="87" t="s">
        <v>1046</v>
      </c>
      <c r="D20" s="87" t="s">
        <v>704</v>
      </c>
      <c r="E20" s="87" t="s">
        <v>1047</v>
      </c>
      <c r="F20" s="87" t="s">
        <v>701</v>
      </c>
      <c r="G20" s="87" t="s">
        <v>963</v>
      </c>
      <c r="H20" s="87" t="s">
        <v>151</v>
      </c>
      <c r="I20" s="87" t="n">
        <v>3</v>
      </c>
      <c r="J20" s="87" t="n">
        <v>1</v>
      </c>
      <c r="K20" s="88"/>
      <c r="L20" s="87" t="n">
        <f aca="false">INDEX(Matriz!$C$7:$E$9,I20,J20)</f>
        <v>150</v>
      </c>
      <c r="M20" s="87" t="n">
        <f aca="false">IF(ISNUMBER(SEARCH("Seguridad",H20)),Matriz!$C$20,0)</f>
        <v>0</v>
      </c>
      <c r="N20" s="87" t="n">
        <f aca="false">IF(O20="Sí",L20+MIN(M20,Matriz!$C$24),0)</f>
        <v>150</v>
      </c>
      <c r="O20" s="87" t="s">
        <v>964</v>
      </c>
      <c r="P20" s="87" t="s">
        <v>1048</v>
      </c>
    </row>
    <row r="21" customFormat="false" ht="15" hidden="false" customHeight="true" outlineLevel="0" collapsed="false">
      <c r="A21" s="87" t="s">
        <v>1049</v>
      </c>
      <c r="B21" s="87" t="s">
        <v>1050</v>
      </c>
      <c r="C21" s="87" t="s">
        <v>1051</v>
      </c>
      <c r="D21" s="87" t="s">
        <v>1052</v>
      </c>
      <c r="E21" s="87" t="s">
        <v>1047</v>
      </c>
      <c r="F21" s="87" t="s">
        <v>701</v>
      </c>
      <c r="G21" s="87" t="s">
        <v>963</v>
      </c>
      <c r="H21" s="87" t="s">
        <v>709</v>
      </c>
      <c r="I21" s="87" t="n">
        <v>2</v>
      </c>
      <c r="J21" s="87" t="n">
        <v>1</v>
      </c>
      <c r="K21" s="88"/>
      <c r="L21" s="87" t="n">
        <f aca="false">INDEX(Matriz!$C$7:$E$9,I21,J21)</f>
        <v>100</v>
      </c>
      <c r="M21" s="87" t="n">
        <f aca="false">IF(ISNUMBER(SEARCH("Seguridad",H21)),Matriz!$C$20,0)</f>
        <v>0</v>
      </c>
      <c r="N21" s="87" t="n">
        <f aca="false">IF(O21="Sí",L21+MIN(M21,Matriz!$C$24),0)</f>
        <v>100</v>
      </c>
      <c r="O21" s="87" t="s">
        <v>964</v>
      </c>
      <c r="P21" s="87" t="s">
        <v>1053</v>
      </c>
    </row>
    <row r="22" customFormat="false" ht="15" hidden="false" customHeight="true" outlineLevel="0" collapsed="false">
      <c r="A22" s="87" t="s">
        <v>1054</v>
      </c>
      <c r="B22" s="87" t="s">
        <v>714</v>
      </c>
      <c r="C22" s="87" t="s">
        <v>1055</v>
      </c>
      <c r="D22" s="87" t="s">
        <v>713</v>
      </c>
      <c r="E22" s="87" t="s">
        <v>1056</v>
      </c>
      <c r="F22" s="87" t="s">
        <v>680</v>
      </c>
      <c r="G22" s="87" t="s">
        <v>963</v>
      </c>
      <c r="H22" s="87" t="s">
        <v>371</v>
      </c>
      <c r="I22" s="87" t="n">
        <v>3</v>
      </c>
      <c r="J22" s="87" t="n">
        <v>2</v>
      </c>
      <c r="K22" s="88" t="n">
        <v>460938</v>
      </c>
      <c r="L22" s="87" t="n">
        <f aca="false">INDEX(Matriz!$C$7:$E$9,I22,J22)</f>
        <v>300</v>
      </c>
      <c r="M22" s="87" t="n">
        <f aca="false">IF(ISNUMBER(SEARCH("Seguridad",H22)),Matriz!$C$20,0)</f>
        <v>0</v>
      </c>
      <c r="N22" s="87" t="n">
        <f aca="false">IF(O22="Sí",L22+MIN(M22,Matriz!$C$24),0)</f>
        <v>300</v>
      </c>
      <c r="O22" s="87" t="s">
        <v>964</v>
      </c>
      <c r="P22" s="87" t="s">
        <v>1057</v>
      </c>
    </row>
    <row r="23" customFormat="false" ht="15" hidden="false" customHeight="true" outlineLevel="0" collapsed="false">
      <c r="A23" s="87" t="s">
        <v>1058</v>
      </c>
      <c r="B23" s="87" t="s">
        <v>1059</v>
      </c>
      <c r="C23" s="87" t="s">
        <v>1060</v>
      </c>
      <c r="D23" s="87" t="s">
        <v>717</v>
      </c>
      <c r="E23" s="87" t="s">
        <v>1059</v>
      </c>
      <c r="F23" s="87" t="s">
        <v>686</v>
      </c>
      <c r="G23" s="87" t="s">
        <v>963</v>
      </c>
      <c r="H23" s="87" t="s">
        <v>53</v>
      </c>
      <c r="I23" s="87" t="n">
        <v>3</v>
      </c>
      <c r="J23" s="87" t="n">
        <v>1</v>
      </c>
      <c r="K23" s="88"/>
      <c r="L23" s="87" t="n">
        <f aca="false">INDEX(Matriz!$C$7:$E$9,I23,J23)</f>
        <v>150</v>
      </c>
      <c r="M23" s="87" t="n">
        <f aca="false">IF(ISNUMBER(SEARCH("Seguridad",H23)),Matriz!$C$20,0)</f>
        <v>100</v>
      </c>
      <c r="N23" s="87" t="n">
        <f aca="false">IF(O23="Sí",L23+MIN(M23,Matriz!$C$24),0)</f>
        <v>250</v>
      </c>
      <c r="O23" s="87" t="s">
        <v>964</v>
      </c>
      <c r="P23" s="87" t="s">
        <v>1061</v>
      </c>
    </row>
    <row r="24" customFormat="false" ht="15" hidden="false" customHeight="true" outlineLevel="0" collapsed="false">
      <c r="A24" s="87" t="s">
        <v>1062</v>
      </c>
      <c r="B24" s="87" t="s">
        <v>1063</v>
      </c>
      <c r="C24" s="87" t="s">
        <v>1064</v>
      </c>
      <c r="D24" s="87" t="s">
        <v>1065</v>
      </c>
      <c r="E24" s="87" t="s">
        <v>1063</v>
      </c>
      <c r="F24" s="87" t="s">
        <v>680</v>
      </c>
      <c r="G24" s="87" t="s">
        <v>963</v>
      </c>
      <c r="H24" s="87" t="s">
        <v>974</v>
      </c>
      <c r="I24" s="87" t="n">
        <v>2</v>
      </c>
      <c r="J24" s="87" t="n">
        <v>2</v>
      </c>
      <c r="K24" s="88"/>
      <c r="L24" s="87" t="n">
        <f aca="false">INDEX(Matriz!$C$7:$E$9,I24,J24)</f>
        <v>200</v>
      </c>
      <c r="M24" s="87" t="n">
        <f aca="false">IF(ISNUMBER(SEARCH("Seguridad",H24)),Matriz!$C$20,0)</f>
        <v>0</v>
      </c>
      <c r="N24" s="87" t="n">
        <f aca="false">IF(O24="Sí",L24+MIN(M24,Matriz!$C$24),0)</f>
        <v>200</v>
      </c>
      <c r="O24" s="87" t="s">
        <v>964</v>
      </c>
      <c r="P24" s="87" t="s">
        <v>1066</v>
      </c>
    </row>
    <row r="25" customFormat="false" ht="27.75" hidden="false" customHeight="true" outlineLevel="0" collapsed="false">
      <c r="A25" s="87" t="s">
        <v>1067</v>
      </c>
      <c r="B25" s="87" t="s">
        <v>722</v>
      </c>
      <c r="C25" s="87" t="s">
        <v>1068</v>
      </c>
      <c r="D25" s="87" t="s">
        <v>724</v>
      </c>
      <c r="E25" s="87" t="s">
        <v>722</v>
      </c>
      <c r="F25" s="87" t="s">
        <v>665</v>
      </c>
      <c r="G25" s="87" t="s">
        <v>963</v>
      </c>
      <c r="H25" s="87" t="s">
        <v>1016</v>
      </c>
      <c r="I25" s="87" t="n">
        <v>2</v>
      </c>
      <c r="J25" s="87" t="n">
        <v>1</v>
      </c>
      <c r="K25" s="88"/>
      <c r="L25" s="87" t="n">
        <f aca="false">INDEX(Matriz!$C$7:$E$9,I25,J25)</f>
        <v>100</v>
      </c>
      <c r="M25" s="87" t="n">
        <f aca="false">IF(ISNUMBER(SEARCH("Seguridad",H25)),Matriz!$C$20,0)</f>
        <v>0</v>
      </c>
      <c r="N25" s="87" t="n">
        <f aca="false">IF(O25="Sí",L25+MIN(M25,Matriz!$C$24),0)</f>
        <v>100</v>
      </c>
      <c r="O25" s="87" t="s">
        <v>964</v>
      </c>
      <c r="P25" s="87" t="s">
        <v>1069</v>
      </c>
    </row>
    <row r="26" customFormat="false" ht="15" hidden="false" customHeight="true" outlineLevel="0" collapsed="false">
      <c r="A26" s="89" t="s">
        <v>1070</v>
      </c>
      <c r="B26" s="89" t="s">
        <v>769</v>
      </c>
      <c r="C26" s="89" t="s">
        <v>1071</v>
      </c>
      <c r="D26" s="89" t="s">
        <v>1072</v>
      </c>
      <c r="E26" s="89" t="s">
        <v>1073</v>
      </c>
      <c r="F26" s="89" t="s">
        <v>767</v>
      </c>
      <c r="G26" s="89" t="s">
        <v>988</v>
      </c>
      <c r="H26" s="89" t="s">
        <v>974</v>
      </c>
      <c r="I26" s="89" t="n">
        <v>2</v>
      </c>
      <c r="J26" s="89" t="n">
        <v>2</v>
      </c>
      <c r="K26" s="90"/>
      <c r="L26" s="89" t="n">
        <f aca="false">INDEX(Matriz!$C$7:$E$9,I26,J26)</f>
        <v>200</v>
      </c>
      <c r="M26" s="89" t="n">
        <f aca="false">IF(ISNUMBER(SEARCH("Seguridad",H26)),Matriz!$C$20,0)</f>
        <v>0</v>
      </c>
      <c r="N26" s="89" t="n">
        <f aca="false">IF(O26="Sí",L26+MIN(M26,Matriz!$C$24),0)</f>
        <v>0</v>
      </c>
      <c r="O26" s="89" t="s">
        <v>975</v>
      </c>
      <c r="P26" s="89" t="s">
        <v>1074</v>
      </c>
    </row>
    <row r="27" customFormat="false" ht="15" hidden="false" customHeight="true" outlineLevel="0" collapsed="false">
      <c r="A27" s="87" t="s">
        <v>1075</v>
      </c>
      <c r="B27" s="87" t="s">
        <v>1076</v>
      </c>
      <c r="C27" s="87" t="s">
        <v>99</v>
      </c>
      <c r="D27" s="87" t="s">
        <v>729</v>
      </c>
      <c r="E27" s="87" t="s">
        <v>1077</v>
      </c>
      <c r="F27" s="87" t="s">
        <v>727</v>
      </c>
      <c r="G27" s="87" t="s">
        <v>963</v>
      </c>
      <c r="H27" s="87" t="s">
        <v>151</v>
      </c>
      <c r="I27" s="87" t="n">
        <v>3</v>
      </c>
      <c r="J27" s="87" t="n">
        <v>1</v>
      </c>
      <c r="K27" s="88"/>
      <c r="L27" s="87" t="n">
        <f aca="false">INDEX(Matriz!$C$7:$E$9,I27,J27)</f>
        <v>150</v>
      </c>
      <c r="M27" s="87" t="n">
        <f aca="false">IF(ISNUMBER(SEARCH("Seguridad",H27)),Matriz!$C$20,0)</f>
        <v>0</v>
      </c>
      <c r="N27" s="87" t="n">
        <f aca="false">IF(O27="Sí",L27+MIN(M27,Matriz!$C$24),0)</f>
        <v>150</v>
      </c>
      <c r="O27" s="87" t="s">
        <v>964</v>
      </c>
      <c r="P27" s="87" t="s">
        <v>1078</v>
      </c>
    </row>
    <row r="28" customFormat="false" ht="15" hidden="false" customHeight="true" outlineLevel="0" collapsed="false">
      <c r="A28" s="91" t="s">
        <v>1079</v>
      </c>
      <c r="B28" s="91" t="s">
        <v>1080</v>
      </c>
      <c r="C28" s="91" t="s">
        <v>995</v>
      </c>
      <c r="D28" s="91" t="s">
        <v>1081</v>
      </c>
      <c r="E28" s="91" t="s">
        <v>1082</v>
      </c>
      <c r="F28" s="91" t="s">
        <v>1083</v>
      </c>
      <c r="G28" s="91" t="s">
        <v>1027</v>
      </c>
      <c r="H28" s="91" t="s">
        <v>849</v>
      </c>
      <c r="I28" s="91" t="n">
        <v>1</v>
      </c>
      <c r="J28" s="91" t="n">
        <v>2</v>
      </c>
      <c r="K28" s="92"/>
      <c r="L28" s="91" t="n">
        <f aca="false">INDEX(Matriz!$C$7:$E$9,I28,J28)</f>
        <v>100</v>
      </c>
      <c r="M28" s="91" t="n">
        <f aca="false">IF(ISNUMBER(SEARCH("Seguridad",H28)),Matriz!$C$20,0)</f>
        <v>0</v>
      </c>
      <c r="N28" s="91" t="n">
        <f aca="false">IF(O28="Sí",L28+MIN(M28,Matriz!$C$24),0)</f>
        <v>0</v>
      </c>
      <c r="O28" s="91" t="s">
        <v>1028</v>
      </c>
      <c r="P28" s="91" t="s">
        <v>1084</v>
      </c>
    </row>
    <row r="29" customFormat="false" ht="15" hidden="false" customHeight="true" outlineLevel="0" collapsed="false">
      <c r="A29" s="87" t="s">
        <v>1085</v>
      </c>
      <c r="B29" s="87" t="s">
        <v>1080</v>
      </c>
      <c r="C29" s="87" t="s">
        <v>995</v>
      </c>
      <c r="D29" s="87" t="s">
        <v>733</v>
      </c>
      <c r="E29" s="87" t="s">
        <v>1082</v>
      </c>
      <c r="F29" s="87" t="s">
        <v>680</v>
      </c>
      <c r="G29" s="87" t="s">
        <v>963</v>
      </c>
      <c r="H29" s="87" t="s">
        <v>53</v>
      </c>
      <c r="I29" s="87" t="n">
        <v>3</v>
      </c>
      <c r="J29" s="87" t="n">
        <v>2</v>
      </c>
      <c r="K29" s="88"/>
      <c r="L29" s="87" t="n">
        <f aca="false">INDEX(Matriz!$C$7:$E$9,I29,J29)</f>
        <v>300</v>
      </c>
      <c r="M29" s="87" t="n">
        <f aca="false">IF(ISNUMBER(SEARCH("Seguridad",H29)),Matriz!$C$20,0)</f>
        <v>100</v>
      </c>
      <c r="N29" s="87" t="n">
        <f aca="false">IF(O29="Sí",L29+MIN(M29,Matriz!$C$24),0)</f>
        <v>400</v>
      </c>
      <c r="O29" s="87" t="s">
        <v>964</v>
      </c>
      <c r="P29" s="87" t="s">
        <v>1086</v>
      </c>
    </row>
    <row r="30" customFormat="false" ht="15" hidden="false" customHeight="true" outlineLevel="0" collapsed="false">
      <c r="A30" s="89" t="s">
        <v>1087</v>
      </c>
      <c r="B30" s="89" t="s">
        <v>774</v>
      </c>
      <c r="C30" s="89" t="s">
        <v>1088</v>
      </c>
      <c r="D30" s="89" t="s">
        <v>1089</v>
      </c>
      <c r="E30" s="89" t="s">
        <v>774</v>
      </c>
      <c r="F30" s="89" t="s">
        <v>773</v>
      </c>
      <c r="G30" s="89" t="s">
        <v>988</v>
      </c>
      <c r="H30" s="89" t="s">
        <v>63</v>
      </c>
      <c r="I30" s="89" t="n">
        <v>3</v>
      </c>
      <c r="J30" s="89" t="n">
        <v>1</v>
      </c>
      <c r="K30" s="90"/>
      <c r="L30" s="89" t="n">
        <f aca="false">INDEX(Matriz!$C$7:$E$9,I30,J30)</f>
        <v>150</v>
      </c>
      <c r="M30" s="89" t="n">
        <f aca="false">IF(ISNUMBER(SEARCH("Seguridad",H30)),Matriz!$C$20,0)</f>
        <v>0</v>
      </c>
      <c r="N30" s="89" t="n">
        <f aca="false">IF(O30="Sí",L30+MIN(M30,Matriz!$C$24),0)</f>
        <v>0</v>
      </c>
      <c r="O30" s="89" t="s">
        <v>975</v>
      </c>
      <c r="P30" s="89" t="s">
        <v>1090</v>
      </c>
    </row>
    <row r="31" customFormat="false" ht="15" hidden="false" customHeight="true" outlineLevel="0" collapsed="false">
      <c r="A31" s="89" t="s">
        <v>1091</v>
      </c>
      <c r="B31" s="89" t="s">
        <v>201</v>
      </c>
      <c r="C31" s="89" t="s">
        <v>1092</v>
      </c>
      <c r="D31" s="89" t="s">
        <v>1093</v>
      </c>
      <c r="E31" s="89" t="s">
        <v>1094</v>
      </c>
      <c r="F31" s="89" t="s">
        <v>779</v>
      </c>
      <c r="G31" s="89" t="s">
        <v>988</v>
      </c>
      <c r="H31" s="89" t="s">
        <v>974</v>
      </c>
      <c r="I31" s="89" t="n">
        <v>2</v>
      </c>
      <c r="J31" s="89" t="n">
        <v>1</v>
      </c>
      <c r="K31" s="90"/>
      <c r="L31" s="89" t="n">
        <f aca="false">INDEX(Matriz!$C$7:$E$9,I31,J31)</f>
        <v>100</v>
      </c>
      <c r="M31" s="89" t="n">
        <f aca="false">IF(ISNUMBER(SEARCH("Seguridad",H31)),Matriz!$C$20,0)</f>
        <v>0</v>
      </c>
      <c r="N31" s="89" t="n">
        <f aca="false">IF(O31="Sí",L31+MIN(M31,Matriz!$C$24),0)</f>
        <v>0</v>
      </c>
      <c r="O31" s="89" t="s">
        <v>975</v>
      </c>
      <c r="P31" s="89" t="s">
        <v>1095</v>
      </c>
    </row>
    <row r="32" customFormat="false" ht="15" hidden="false" customHeight="true" outlineLevel="0" collapsed="false">
      <c r="A32" s="89" t="s">
        <v>1096</v>
      </c>
      <c r="B32" s="89" t="s">
        <v>1097</v>
      </c>
      <c r="C32" s="89" t="s">
        <v>1098</v>
      </c>
      <c r="D32" s="89" t="s">
        <v>786</v>
      </c>
      <c r="E32" s="89" t="s">
        <v>1099</v>
      </c>
      <c r="F32" s="89" t="s">
        <v>784</v>
      </c>
      <c r="G32" s="89" t="s">
        <v>988</v>
      </c>
      <c r="H32" s="89" t="s">
        <v>63</v>
      </c>
      <c r="I32" s="89" t="n">
        <v>3</v>
      </c>
      <c r="J32" s="89" t="n">
        <v>2</v>
      </c>
      <c r="K32" s="90"/>
      <c r="L32" s="89" t="n">
        <f aca="false">INDEX(Matriz!$C$7:$E$9,I32,J32)</f>
        <v>300</v>
      </c>
      <c r="M32" s="89" t="n">
        <f aca="false">IF(ISNUMBER(SEARCH("Seguridad",H32)),Matriz!$C$20,0)</f>
        <v>0</v>
      </c>
      <c r="N32" s="89" t="n">
        <f aca="false">IF(O32="Sí",L32+MIN(M32,Matriz!$C$24),0)</f>
        <v>0</v>
      </c>
      <c r="O32" s="89" t="s">
        <v>975</v>
      </c>
      <c r="P32" s="89" t="s">
        <v>1100</v>
      </c>
    </row>
    <row r="33" customFormat="false" ht="27.75" hidden="false" customHeight="true" outlineLevel="0" collapsed="false">
      <c r="A33" s="87" t="s">
        <v>1101</v>
      </c>
      <c r="B33" s="87" t="s">
        <v>1102</v>
      </c>
      <c r="C33" s="87" t="s">
        <v>1103</v>
      </c>
      <c r="D33" s="87" t="s">
        <v>738</v>
      </c>
      <c r="E33" s="87" t="s">
        <v>1104</v>
      </c>
      <c r="F33" s="87" t="s">
        <v>735</v>
      </c>
      <c r="G33" s="87" t="s">
        <v>963</v>
      </c>
      <c r="H33" s="87" t="s">
        <v>63</v>
      </c>
      <c r="I33" s="87" t="n">
        <v>3</v>
      </c>
      <c r="J33" s="87" t="n">
        <v>2</v>
      </c>
      <c r="K33" s="88" t="n">
        <v>9942</v>
      </c>
      <c r="L33" s="87" t="n">
        <f aca="false">INDEX(Matriz!$C$7:$E$9,I33,J33)</f>
        <v>300</v>
      </c>
      <c r="M33" s="87" t="n">
        <f aca="false">IF(ISNUMBER(SEARCH("Seguridad",H33)),Matriz!$C$20,0)</f>
        <v>0</v>
      </c>
      <c r="N33" s="87" t="n">
        <f aca="false">IF(O33="Sí",L33+MIN(M33,Matriz!$C$24),0)</f>
        <v>300</v>
      </c>
      <c r="O33" s="87" t="s">
        <v>964</v>
      </c>
      <c r="P33" s="87" t="s">
        <v>1105</v>
      </c>
    </row>
    <row r="34" customFormat="false" ht="15" hidden="false" customHeight="true" outlineLevel="0" collapsed="false">
      <c r="A34" s="87" t="s">
        <v>1106</v>
      </c>
      <c r="B34" s="87" t="s">
        <v>1107</v>
      </c>
      <c r="C34" s="87" t="s">
        <v>1108</v>
      </c>
      <c r="D34" s="87" t="s">
        <v>1109</v>
      </c>
      <c r="E34" s="87" t="s">
        <v>1110</v>
      </c>
      <c r="F34" s="87" t="s">
        <v>788</v>
      </c>
      <c r="G34" s="87" t="s">
        <v>963</v>
      </c>
      <c r="H34" s="87" t="s">
        <v>371</v>
      </c>
      <c r="I34" s="87" t="n">
        <v>3</v>
      </c>
      <c r="J34" s="87" t="n">
        <v>1</v>
      </c>
      <c r="K34" s="88"/>
      <c r="L34" s="87" t="n">
        <f aca="false">INDEX(Matriz!$C$7:$E$9,I34,J34)</f>
        <v>150</v>
      </c>
      <c r="M34" s="87" t="n">
        <f aca="false">IF(ISNUMBER(SEARCH("Seguridad",H34)),Matriz!$C$20,0)</f>
        <v>0</v>
      </c>
      <c r="N34" s="87" t="n">
        <f aca="false">IF(O34="Sí",L34+MIN(M34,Matriz!$C$24),0)</f>
        <v>150</v>
      </c>
      <c r="O34" s="87" t="s">
        <v>964</v>
      </c>
      <c r="P34" s="87" t="s">
        <v>1111</v>
      </c>
    </row>
    <row r="35" customFormat="false" ht="15" hidden="false" customHeight="true" outlineLevel="0" collapsed="false">
      <c r="A35" s="89" t="s">
        <v>1112</v>
      </c>
      <c r="B35" s="89" t="s">
        <v>798</v>
      </c>
      <c r="C35" s="89" t="s">
        <v>106</v>
      </c>
      <c r="D35" s="89" t="s">
        <v>797</v>
      </c>
      <c r="E35" s="89" t="s">
        <v>1113</v>
      </c>
      <c r="F35" s="89" t="s">
        <v>246</v>
      </c>
      <c r="G35" s="89" t="s">
        <v>988</v>
      </c>
      <c r="H35" s="89" t="s">
        <v>53</v>
      </c>
      <c r="I35" s="89" t="n">
        <v>3</v>
      </c>
      <c r="J35" s="89" t="n">
        <v>1</v>
      </c>
      <c r="K35" s="90"/>
      <c r="L35" s="89" t="n">
        <f aca="false">INDEX(Matriz!$C$7:$E$9,I35,J35)</f>
        <v>150</v>
      </c>
      <c r="M35" s="89" t="n">
        <f aca="false">IF(ISNUMBER(SEARCH("Seguridad",H35)),Matriz!$C$20,0)</f>
        <v>100</v>
      </c>
      <c r="N35" s="89" t="n">
        <f aca="false">IF(O35="Sí",L35+MIN(M35,Matriz!$C$24),0)</f>
        <v>0</v>
      </c>
      <c r="O35" s="89" t="s">
        <v>975</v>
      </c>
      <c r="P35" s="89" t="s">
        <v>1114</v>
      </c>
    </row>
    <row r="36" customFormat="false" ht="27.75" hidden="false" customHeight="true" outlineLevel="0" collapsed="false">
      <c r="A36" s="89" t="s">
        <v>1115</v>
      </c>
      <c r="B36" s="89" t="s">
        <v>798</v>
      </c>
      <c r="C36" s="89" t="s">
        <v>106</v>
      </c>
      <c r="D36" s="89" t="s">
        <v>801</v>
      </c>
      <c r="E36" s="89" t="s">
        <v>1113</v>
      </c>
      <c r="F36" s="89" t="s">
        <v>246</v>
      </c>
      <c r="G36" s="89" t="s">
        <v>988</v>
      </c>
      <c r="H36" s="89" t="s">
        <v>53</v>
      </c>
      <c r="I36" s="89" t="n">
        <v>3</v>
      </c>
      <c r="J36" s="89" t="n">
        <v>1</v>
      </c>
      <c r="K36" s="90"/>
      <c r="L36" s="89" t="n">
        <f aca="false">INDEX(Matriz!$C$7:$E$9,I36,J36)</f>
        <v>150</v>
      </c>
      <c r="M36" s="89" t="n">
        <f aca="false">IF(ISNUMBER(SEARCH("Seguridad",H36)),Matriz!$C$20,0)</f>
        <v>100</v>
      </c>
      <c r="N36" s="89" t="n">
        <f aca="false">IF(O36="Sí",L36+MIN(M36,Matriz!$C$24),0)</f>
        <v>0</v>
      </c>
      <c r="O36" s="89" t="s">
        <v>975</v>
      </c>
      <c r="P36" s="89" t="s">
        <v>1114</v>
      </c>
    </row>
    <row r="37" customFormat="false" ht="15" hidden="false" customHeight="true" outlineLevel="0" collapsed="false">
      <c r="A37" s="87" t="s">
        <v>1116</v>
      </c>
      <c r="B37" s="87" t="s">
        <v>798</v>
      </c>
      <c r="C37" s="87" t="s">
        <v>106</v>
      </c>
      <c r="D37" s="87" t="s">
        <v>803</v>
      </c>
      <c r="E37" s="87" t="s">
        <v>1117</v>
      </c>
      <c r="F37" s="87" t="s">
        <v>680</v>
      </c>
      <c r="G37" s="87" t="s">
        <v>963</v>
      </c>
      <c r="H37" s="87" t="s">
        <v>1118</v>
      </c>
      <c r="I37" s="87" t="n">
        <v>2</v>
      </c>
      <c r="J37" s="87" t="n">
        <v>1</v>
      </c>
      <c r="K37" s="88"/>
      <c r="L37" s="87" t="n">
        <f aca="false">INDEX(Matriz!$C$7:$E$9,I37,J37)</f>
        <v>100</v>
      </c>
      <c r="M37" s="87" t="n">
        <f aca="false">IF(ISNUMBER(SEARCH("Seguridad",H37)),Matriz!$C$20,0)</f>
        <v>0</v>
      </c>
      <c r="N37" s="87" t="n">
        <f aca="false">IF(O37="Sí",L37+MIN(M37,Matriz!$C$24),0)</f>
        <v>100</v>
      </c>
      <c r="O37" s="87" t="s">
        <v>964</v>
      </c>
      <c r="P37" s="87" t="s">
        <v>1119</v>
      </c>
    </row>
    <row r="38" customFormat="false" ht="15" hidden="false" customHeight="true" outlineLevel="0" collapsed="false">
      <c r="A38" s="87" t="s">
        <v>1120</v>
      </c>
      <c r="B38" s="87" t="s">
        <v>1121</v>
      </c>
      <c r="C38" s="87" t="s">
        <v>1122</v>
      </c>
      <c r="D38" s="87" t="s">
        <v>744</v>
      </c>
      <c r="E38" s="87" t="s">
        <v>1123</v>
      </c>
      <c r="F38" s="87" t="s">
        <v>741</v>
      </c>
      <c r="G38" s="87" t="s">
        <v>963</v>
      </c>
      <c r="H38" s="87" t="s">
        <v>371</v>
      </c>
      <c r="I38" s="87" t="n">
        <v>3</v>
      </c>
      <c r="J38" s="87" t="n">
        <v>1</v>
      </c>
      <c r="K38" s="88"/>
      <c r="L38" s="87" t="n">
        <f aca="false">INDEX(Matriz!$C$7:$E$9,I38,J38)</f>
        <v>150</v>
      </c>
      <c r="M38" s="87" t="n">
        <f aca="false">IF(ISNUMBER(SEARCH("Seguridad",H38)),Matriz!$C$20,0)</f>
        <v>0</v>
      </c>
      <c r="N38" s="87" t="n">
        <f aca="false">IF(O38="Sí",L38+MIN(M38,Matriz!$C$24),0)</f>
        <v>150</v>
      </c>
      <c r="O38" s="87" t="s">
        <v>964</v>
      </c>
      <c r="P38" s="87" t="s">
        <v>1124</v>
      </c>
    </row>
    <row r="39" customFormat="false" ht="15" hidden="false" customHeight="true" outlineLevel="0" collapsed="false">
      <c r="A39" s="87" t="s">
        <v>1125</v>
      </c>
      <c r="B39" s="87" t="s">
        <v>804</v>
      </c>
      <c r="C39" s="87" t="s">
        <v>106</v>
      </c>
      <c r="D39" s="87" t="s">
        <v>806</v>
      </c>
      <c r="E39" s="87" t="s">
        <v>1126</v>
      </c>
      <c r="F39" s="87" t="s">
        <v>665</v>
      </c>
      <c r="G39" s="87" t="s">
        <v>963</v>
      </c>
      <c r="H39" s="87" t="s">
        <v>573</v>
      </c>
      <c r="I39" s="87" t="n">
        <v>1</v>
      </c>
      <c r="J39" s="87" t="n">
        <v>2</v>
      </c>
      <c r="K39" s="88"/>
      <c r="L39" s="87" t="n">
        <f aca="false">INDEX(Matriz!$C$7:$E$9,I39,J39)</f>
        <v>100</v>
      </c>
      <c r="M39" s="87" t="n">
        <f aca="false">IF(ISNUMBER(SEARCH("Seguridad",H39)),Matriz!$C$20,0)</f>
        <v>0</v>
      </c>
      <c r="N39" s="87" t="n">
        <f aca="false">IF(O39="Sí",L39+MIN(M39,Matriz!$C$24),0)</f>
        <v>100</v>
      </c>
      <c r="O39" s="87" t="s">
        <v>964</v>
      </c>
      <c r="P39" s="87" t="s">
        <v>1127</v>
      </c>
    </row>
    <row r="40" customFormat="false" ht="27.75" hidden="false" customHeight="true" outlineLevel="0" collapsed="false">
      <c r="A40" s="87" t="s">
        <v>1128</v>
      </c>
      <c r="B40" s="87" t="s">
        <v>1129</v>
      </c>
      <c r="C40" s="87" t="s">
        <v>1130</v>
      </c>
      <c r="D40" s="87" t="s">
        <v>1131</v>
      </c>
      <c r="E40" s="87" t="s">
        <v>1132</v>
      </c>
      <c r="F40" s="87" t="s">
        <v>680</v>
      </c>
      <c r="G40" s="87" t="s">
        <v>963</v>
      </c>
      <c r="H40" s="87" t="s">
        <v>53</v>
      </c>
      <c r="I40" s="87" t="n">
        <v>3</v>
      </c>
      <c r="J40" s="87" t="n">
        <v>1</v>
      </c>
      <c r="K40" s="88" t="n">
        <v>100000</v>
      </c>
      <c r="L40" s="87" t="n">
        <f aca="false">INDEX(Matriz!$C$7:$E$9,I40,J40)</f>
        <v>150</v>
      </c>
      <c r="M40" s="87" t="n">
        <f aca="false">IF(ISNUMBER(SEARCH("Seguridad",H40)),Matriz!$C$20,0)</f>
        <v>100</v>
      </c>
      <c r="N40" s="87" t="n">
        <f aca="false">IF(O40="Sí",L40+MIN(M40,Matriz!$C$24),0)</f>
        <v>250</v>
      </c>
      <c r="O40" s="87" t="s">
        <v>964</v>
      </c>
      <c r="P40" s="87" t="s">
        <v>1133</v>
      </c>
    </row>
    <row r="42" customFormat="false" ht="15" hidden="false" customHeight="true" outlineLevel="0" collapsed="false">
      <c r="D42" s="93" t="s">
        <v>1134</v>
      </c>
      <c r="N42" s="93" t="n">
        <f aca="false">SUM(N5:N40)</f>
        <v>4400</v>
      </c>
    </row>
    <row r="43" customFormat="false" ht="15" hidden="false" customHeight="true" outlineLevel="0" collapsed="false">
      <c r="D43" s="1" t="s">
        <v>1135</v>
      </c>
      <c r="N43" s="1" t="str">
        <f aca="false">COUNTIF(O5:O40,"Sí")&amp;" / "&amp;COUNTIF(O5:O40,"Dudoso")&amp;" / "&amp;COUNTIF(O5:O40,"No")</f>
        <v>23 / 10 / 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12"/>
    <col collapsed="false" customWidth="true" hidden="false" outlineLevel="0" max="4" min="4" style="1" width="50"/>
    <col collapsed="false" customWidth="true" hidden="false" outlineLevel="0" max="5" min="5" style="1" width="26"/>
    <col collapsed="false" customWidth="true" hidden="false" outlineLevel="0" max="7" min="6" style="1" width="46"/>
  </cols>
  <sheetData>
    <row r="1" customFormat="false" ht="17.25" hidden="false" customHeight="true" outlineLevel="0" collapsed="false">
      <c r="A1" s="2" t="s">
        <v>1136</v>
      </c>
    </row>
    <row r="2" customFormat="false" ht="15" hidden="false" customHeight="true" outlineLevel="0" collapsed="false">
      <c r="A2" s="3" t="s">
        <v>1137</v>
      </c>
    </row>
    <row r="4" customFormat="false" ht="15" hidden="false" customHeight="true" outlineLevel="0" collapsed="false">
      <c r="A4" s="18" t="s">
        <v>27</v>
      </c>
      <c r="B4" s="18" t="s">
        <v>837</v>
      </c>
      <c r="C4" s="18" t="s">
        <v>31</v>
      </c>
      <c r="D4" s="18" t="s">
        <v>1138</v>
      </c>
      <c r="E4" s="18" t="s">
        <v>1139</v>
      </c>
      <c r="F4" s="18" t="s">
        <v>42</v>
      </c>
      <c r="G4" s="18" t="s">
        <v>43</v>
      </c>
    </row>
    <row r="5" customFormat="false" ht="15" hidden="false" customHeight="true" outlineLevel="0" collapsed="false">
      <c r="A5" s="63" t="n">
        <v>1</v>
      </c>
      <c r="B5" s="63" t="s">
        <v>57</v>
      </c>
      <c r="C5" s="63" t="s">
        <v>51</v>
      </c>
      <c r="D5" s="94" t="s">
        <v>1140</v>
      </c>
      <c r="E5" s="95" t="s">
        <v>1141</v>
      </c>
      <c r="F5" s="67" t="s">
        <v>55</v>
      </c>
      <c r="G5" s="67" t="s">
        <v>56</v>
      </c>
    </row>
    <row r="6" customFormat="false" ht="23.25" hidden="false" customHeight="true" outlineLevel="0" collapsed="false">
      <c r="A6" s="63" t="n">
        <v>2</v>
      </c>
      <c r="B6" s="63" t="s">
        <v>67</v>
      </c>
      <c r="C6" s="63" t="s">
        <v>61</v>
      </c>
      <c r="D6" s="94" t="s">
        <v>64</v>
      </c>
      <c r="E6" s="95" t="s">
        <v>1142</v>
      </c>
      <c r="F6" s="67" t="s">
        <v>65</v>
      </c>
      <c r="G6" s="67" t="s">
        <v>66</v>
      </c>
    </row>
    <row r="7" customFormat="false" ht="36.75" hidden="false" customHeight="true" outlineLevel="0" collapsed="false">
      <c r="A7" s="63" t="n">
        <v>3</v>
      </c>
      <c r="B7" s="63" t="s">
        <v>72</v>
      </c>
      <c r="C7" s="63" t="s">
        <v>73</v>
      </c>
      <c r="D7" s="94" t="s">
        <v>76</v>
      </c>
      <c r="E7" s="95" t="s">
        <v>1143</v>
      </c>
      <c r="F7" s="67" t="s">
        <v>77</v>
      </c>
      <c r="G7" s="67" t="s">
        <v>78</v>
      </c>
    </row>
    <row r="8" customFormat="false" ht="15" hidden="false" customHeight="true" outlineLevel="0" collapsed="false">
      <c r="A8" s="63" t="n">
        <v>21</v>
      </c>
      <c r="B8" s="63" t="s">
        <v>217</v>
      </c>
      <c r="C8" s="63" t="s">
        <v>51</v>
      </c>
      <c r="D8" s="94" t="s">
        <v>214</v>
      </c>
      <c r="E8" s="95" t="s">
        <v>1144</v>
      </c>
      <c r="F8" s="67" t="s">
        <v>215</v>
      </c>
      <c r="G8" s="67" t="s">
        <v>216</v>
      </c>
    </row>
    <row r="9" customFormat="false" ht="36.75" hidden="false" customHeight="true" outlineLevel="0" collapsed="false">
      <c r="A9" s="63" t="n">
        <v>25</v>
      </c>
      <c r="B9" s="63" t="s">
        <v>244</v>
      </c>
      <c r="C9" s="63" t="s">
        <v>51</v>
      </c>
      <c r="D9" s="94" t="s">
        <v>241</v>
      </c>
      <c r="E9" s="95" t="s">
        <v>1145</v>
      </c>
      <c r="F9" s="67" t="s">
        <v>242</v>
      </c>
      <c r="G9" s="67" t="s">
        <v>243</v>
      </c>
    </row>
    <row r="10" customFormat="false" ht="21.75" hidden="false" customHeight="true" outlineLevel="0" collapsed="false">
      <c r="A10" s="63" t="n">
        <v>28</v>
      </c>
      <c r="B10" s="63" t="s">
        <v>109</v>
      </c>
      <c r="C10" s="63" t="s">
        <v>51</v>
      </c>
      <c r="D10" s="94" t="s">
        <v>265</v>
      </c>
      <c r="E10" s="95" t="s">
        <v>1146</v>
      </c>
      <c r="F10" s="67" t="s">
        <v>266</v>
      </c>
      <c r="G10" s="67" t="s">
        <v>267</v>
      </c>
    </row>
    <row r="11" customFormat="false" ht="15" hidden="false" customHeight="true" outlineLevel="0" collapsed="false">
      <c r="A11" s="63" t="n">
        <v>39</v>
      </c>
      <c r="B11" s="63" t="s">
        <v>323</v>
      </c>
      <c r="C11" s="63" t="s">
        <v>73</v>
      </c>
      <c r="D11" s="94" t="s">
        <v>324</v>
      </c>
      <c r="E11" s="95" t="s">
        <v>1147</v>
      </c>
      <c r="F11" s="67" t="s">
        <v>325</v>
      </c>
      <c r="G11" s="67" t="s">
        <v>326</v>
      </c>
    </row>
    <row r="12" customFormat="false" ht="18.75" hidden="false" customHeight="true" outlineLevel="0" collapsed="false">
      <c r="A12" s="63" t="n">
        <v>46</v>
      </c>
      <c r="B12" s="63" t="s">
        <v>370</v>
      </c>
      <c r="C12" s="63" t="s">
        <v>163</v>
      </c>
      <c r="D12" s="94" t="s">
        <v>367</v>
      </c>
      <c r="E12" s="95" t="s">
        <v>1148</v>
      </c>
      <c r="F12" s="67" t="s">
        <v>368</v>
      </c>
      <c r="G12" s="67" t="s">
        <v>369</v>
      </c>
    </row>
    <row r="13" customFormat="false" ht="23.25" hidden="false" customHeight="true" outlineLevel="0" collapsed="false">
      <c r="A13" s="63" t="n">
        <v>51</v>
      </c>
      <c r="B13" s="63" t="s">
        <v>167</v>
      </c>
      <c r="C13" s="63" t="s">
        <v>61</v>
      </c>
      <c r="D13" s="94" t="s">
        <v>394</v>
      </c>
      <c r="E13" s="95" t="s">
        <v>1149</v>
      </c>
      <c r="F13" s="67" t="s">
        <v>395</v>
      </c>
      <c r="G13" s="67" t="s">
        <v>396</v>
      </c>
    </row>
    <row r="14" customFormat="false" ht="18.75" hidden="false" customHeight="true" outlineLevel="0" collapsed="false">
      <c r="A14" s="63" t="n">
        <v>52</v>
      </c>
      <c r="B14" s="63" t="s">
        <v>403</v>
      </c>
      <c r="C14" s="63" t="s">
        <v>73</v>
      </c>
      <c r="D14" s="94" t="s">
        <v>400</v>
      </c>
      <c r="E14" s="95" t="s">
        <v>1149</v>
      </c>
      <c r="F14" s="67" t="s">
        <v>401</v>
      </c>
      <c r="G14" s="67" t="s">
        <v>402</v>
      </c>
    </row>
    <row r="15" customFormat="false" ht="36.75" hidden="false" customHeight="true" outlineLevel="0" collapsed="false">
      <c r="A15" s="63" t="n">
        <v>77</v>
      </c>
      <c r="B15" s="63" t="s">
        <v>542</v>
      </c>
      <c r="C15" s="63" t="s">
        <v>51</v>
      </c>
      <c r="D15" s="94" t="s">
        <v>539</v>
      </c>
      <c r="E15" s="95" t="s">
        <v>1143</v>
      </c>
      <c r="F15" s="67" t="s">
        <v>540</v>
      </c>
      <c r="G15" s="67" t="s">
        <v>541</v>
      </c>
    </row>
    <row r="16" customFormat="false" ht="21.75" hidden="false" customHeight="true" outlineLevel="0" collapsed="false">
      <c r="A16" s="63" t="n">
        <v>83</v>
      </c>
      <c r="B16" s="63" t="s">
        <v>98</v>
      </c>
      <c r="C16" s="63" t="s">
        <v>73</v>
      </c>
      <c r="D16" s="94" t="s">
        <v>574</v>
      </c>
      <c r="E16" s="95" t="s">
        <v>1150</v>
      </c>
      <c r="F16" s="67" t="s">
        <v>575</v>
      </c>
      <c r="G16" s="67" t="s">
        <v>576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2026-09-24T18:53:02Z</dcterms:created>
  <dc:creator>openpyxl</dc:creator>
  <dc:description/>
  <dc:language>en-US</dc:language>
  <cp:lastModifiedBy>Genet Campos</cp:lastModifiedBy>
  <dcterms:modified xsi:type="dcterms:W3CDTF">2026-10-06T22:36:14Z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